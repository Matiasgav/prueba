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cer Aspire3\Desktop\Prueba Taller Meca 140425\"/>
    </mc:Choice>
  </mc:AlternateContent>
  <xr:revisionPtr revIDLastSave="0" documentId="13_ncr:1_{BF3111EE-B069-4528-8515-650A9E5AC9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ELCID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9" i="2" l="1"/>
  <c r="AN48" i="2"/>
  <c r="AN45" i="2"/>
  <c r="AM46" i="2"/>
  <c r="J50" i="2"/>
  <c r="AB19" i="2"/>
  <c r="AM27" i="2"/>
  <c r="J25" i="2"/>
  <c r="AR29" i="2"/>
  <c r="AR27" i="2"/>
  <c r="AB24" i="2"/>
  <c r="AB25" i="2" s="1"/>
  <c r="AV76" i="2"/>
  <c r="J60" i="2"/>
  <c r="AB27" i="2"/>
  <c r="J24" i="2"/>
  <c r="AB23" i="2"/>
  <c r="AB22" i="2"/>
  <c r="AV74" i="2" l="1"/>
  <c r="J69" i="2"/>
  <c r="AV75" i="2"/>
  <c r="AV73" i="2" s="1"/>
  <c r="J26" i="2"/>
  <c r="AK35" i="2" s="1"/>
  <c r="AQ70" i="2" l="1"/>
  <c r="AR70" i="2" s="1"/>
  <c r="J41" i="2"/>
  <c r="AB69" i="2" s="1"/>
  <c r="AQ69" i="2" l="1"/>
  <c r="J68" i="2"/>
  <c r="J70" i="2" s="1"/>
  <c r="AB70" i="2" s="1"/>
</calcChain>
</file>

<file path=xl/sharedStrings.xml><?xml version="1.0" encoding="utf-8"?>
<sst xmlns="http://schemas.openxmlformats.org/spreadsheetml/2006/main" count="140" uniqueCount="116">
  <si>
    <t>TIPO DE DOCUMENTO</t>
  </si>
  <si>
    <t>FORMULARIO</t>
  </si>
  <si>
    <t>CÓDIGO</t>
  </si>
  <si>
    <t>TÍTULO DE DOCUMENTO</t>
  </si>
  <si>
    <t>VERSIÓN</t>
  </si>
  <si>
    <t>FECHA DE REVISIÓN</t>
  </si>
  <si>
    <t>V</t>
  </si>
  <si>
    <t>Hz</t>
  </si>
  <si>
    <t>-</t>
  </si>
  <si>
    <t>Marca</t>
  </si>
  <si>
    <t>NOTAS:</t>
  </si>
  <si>
    <t>NOMBRE</t>
  </si>
  <si>
    <t>FIRMA</t>
  </si>
  <si>
    <t>FECHA</t>
  </si>
  <si>
    <t>REALIZÓ</t>
  </si>
  <si>
    <t>REVISÓ</t>
  </si>
  <si>
    <t>APROBÓ</t>
  </si>
  <si>
    <t>REVISIÓN</t>
  </si>
  <si>
    <t>DESCRIPCIÓN</t>
  </si>
  <si>
    <t>N° 00</t>
  </si>
  <si>
    <t>Versión inicial</t>
  </si>
  <si>
    <t>PREPARÓ</t>
  </si>
  <si>
    <t>FECHA DE EMISIÓN</t>
  </si>
  <si>
    <t>Pablo Pelegrina</t>
  </si>
  <si>
    <t>DOCUMENTOS DE REFERENCIA</t>
  </si>
  <si>
    <t xml:space="preserve">Cliente: </t>
  </si>
  <si>
    <t>Localidad:</t>
  </si>
  <si>
    <t>País:</t>
  </si>
  <si>
    <t>Equipo:</t>
  </si>
  <si>
    <t>Marca:</t>
  </si>
  <si>
    <t>Modelo:</t>
  </si>
  <si>
    <t>Designación:</t>
  </si>
  <si>
    <t>REGISTRO DE CÁLCULO DE EXCITACIÓN</t>
  </si>
  <si>
    <t>ENSAYO ELCID</t>
  </si>
  <si>
    <t>RME-ELC-01</t>
  </si>
  <si>
    <t>CÁLCULO DE EXCITACIÓN - ENSAYO ELCID</t>
  </si>
  <si>
    <t>00</t>
  </si>
  <si>
    <t>INFORMACIÓN DEL GENERADOR</t>
  </si>
  <si>
    <t>A</t>
  </si>
  <si>
    <t>Modelo</t>
  </si>
  <si>
    <t>Número de serie</t>
  </si>
  <si>
    <t>Año de fabricación</t>
  </si>
  <si>
    <t>BRUSH</t>
  </si>
  <si>
    <t>BDAX 7-265 ER</t>
  </si>
  <si>
    <t>Potencia nominal</t>
  </si>
  <si>
    <t>MVA</t>
  </si>
  <si>
    <t>Tensión nominal</t>
  </si>
  <si>
    <t>kV</t>
  </si>
  <si>
    <t>cos Øn</t>
  </si>
  <si>
    <t>Corriente nominal</t>
  </si>
  <si>
    <t xml:space="preserve">Frecuencia </t>
  </si>
  <si>
    <t>rpm</t>
  </si>
  <si>
    <t xml:space="preserve">Número de polos </t>
  </si>
  <si>
    <t>Número de ranuras</t>
  </si>
  <si>
    <t>Número de barras por ranura</t>
  </si>
  <si>
    <t>Longitud axial del núcleo</t>
  </si>
  <si>
    <t>mm</t>
  </si>
  <si>
    <t>Diametro interior núcleo</t>
  </si>
  <si>
    <t>Diámetro exterior del núcleo</t>
  </si>
  <si>
    <t>Profundidad de ranura</t>
  </si>
  <si>
    <t>Cantidad de canales vent.</t>
  </si>
  <si>
    <t>Longitud axial canales vent.</t>
  </si>
  <si>
    <t xml:space="preserve">Ancho de ranura </t>
  </si>
  <si>
    <t xml:space="preserve">Ancho de diente </t>
  </si>
  <si>
    <t>Paso de diente estator</t>
  </si>
  <si>
    <t>Paso de bobina</t>
  </si>
  <si>
    <t>Nro. de ran. p/ polo y fase</t>
  </si>
  <si>
    <t>Paso polar</t>
  </si>
  <si>
    <t>Paso bobina ref. al polar</t>
  </si>
  <si>
    <t>Factor de distribución</t>
  </si>
  <si>
    <t>Factor de paso</t>
  </si>
  <si>
    <t>Factor de arrollamiento</t>
  </si>
  <si>
    <t>26/02/2025</t>
  </si>
  <si>
    <t>Generador</t>
  </si>
  <si>
    <t>BDAX 7-265ER</t>
  </si>
  <si>
    <t>CAPEX</t>
  </si>
  <si>
    <t>Neuquén</t>
  </si>
  <si>
    <t>Argentina</t>
  </si>
  <si>
    <t>TG03</t>
  </si>
  <si>
    <t>Nro. circuitos paralelos p/fase</t>
  </si>
  <si>
    <t>Nro. espiras serie p/barra</t>
  </si>
  <si>
    <t>Nro. espiras serie p/fase</t>
  </si>
  <si>
    <t>CÁLCULO DE EXCITACIÓN</t>
  </si>
  <si>
    <t>Fórmulas utilizadas:</t>
  </si>
  <si>
    <t>tomando el 4%</t>
  </si>
  <si>
    <t>Tensión espira auxiliar</t>
  </si>
  <si>
    <t>Equipo Mecanálisis:</t>
  </si>
  <si>
    <t>kVA</t>
  </si>
  <si>
    <t>Tensión nominal variac</t>
  </si>
  <si>
    <t>Corriente nominal variac</t>
  </si>
  <si>
    <t>Potencia variac</t>
  </si>
  <si>
    <t>Potencia requerida:</t>
  </si>
  <si>
    <t>Potencia reactiva estimada (max)</t>
  </si>
  <si>
    <t>VAr</t>
  </si>
  <si>
    <t>Pérdidas en el núcleo</t>
  </si>
  <si>
    <t>W</t>
  </si>
  <si>
    <t>Potencia total</t>
  </si>
  <si>
    <t xml:space="preserve">VA </t>
  </si>
  <si>
    <t>Configuración:</t>
  </si>
  <si>
    <t>Número de vueltas</t>
  </si>
  <si>
    <t>Tensión variac requerida</t>
  </si>
  <si>
    <t>Corriente variac requerida</t>
  </si>
  <si>
    <t>[1] RIDLEY G. K., "EL CID - Application and Analysis", 2000.</t>
  </si>
  <si>
    <t>1 Utilizando información de bobinado</t>
  </si>
  <si>
    <t>2 Utilizando geometría del núcleo</t>
  </si>
  <si>
    <t>B nominal</t>
  </si>
  <si>
    <t>T</t>
  </si>
  <si>
    <t>3 Utilizando geometría del rotor</t>
  </si>
  <si>
    <t>Diametro del rotor</t>
  </si>
  <si>
    <t xml:space="preserve">Reluctancia </t>
  </si>
  <si>
    <t>diam medio</t>
  </si>
  <si>
    <t>Area</t>
  </si>
  <si>
    <t>Perm vacio</t>
  </si>
  <si>
    <t>Perm relativa</t>
  </si>
  <si>
    <t>Q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</si>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</sst>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0.0000"/>
    <numFmt numFmtId="167" formatCode="0.00000"/>
    <numFmt numFmtId="168" formatCode="0.0000000"/>
  </numFmts>
  <fonts count="1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12"/>
      <color rgb="FF6D8289"/>
      <name val="Calibri"/>
      <family val="2"/>
    </font>
    <font>
      <b/>
      <sz val="22"/>
      <color rgb="FFF26A32"/>
      <name val="Calibri"/>
      <family val="2"/>
      <scheme val="minor"/>
    </font>
    <font>
      <b/>
      <sz val="11"/>
      <color theme="1"/>
      <name val="Calibri"/>
      <family val="2"/>
    </font>
    <font>
      <b/>
      <sz val="8"/>
      <color theme="0" tint="-0.499984740745262"/>
      <name val="Calibri"/>
      <family val="2"/>
    </font>
    <font>
      <b/>
      <sz val="20"/>
      <color rgb="FF6D8289"/>
      <name val="Calibri"/>
      <family val="2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D8289"/>
        <bgColor indexed="64"/>
      </patternFill>
    </fill>
    <fill>
      <patternFill patternType="solid">
        <fgColor rgb="FFE5E8EB"/>
        <bgColor indexed="64"/>
      </patternFill>
    </fill>
    <fill>
      <patternFill patternType="solid">
        <fgColor rgb="FFDAE0E2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5"/>
      </right>
      <top/>
      <bottom/>
      <diagonal/>
    </border>
    <border>
      <left/>
      <right/>
      <top style="thin">
        <color rgb="FF6D8289"/>
      </top>
      <bottom/>
      <diagonal/>
    </border>
    <border>
      <left/>
      <right style="thin">
        <color rgb="FF6D8289"/>
      </right>
      <top style="thin">
        <color rgb="FF6D8289"/>
      </top>
      <bottom/>
      <diagonal/>
    </border>
    <border>
      <left/>
      <right/>
      <top style="thin">
        <color rgb="FFF26A32"/>
      </top>
      <bottom style="thin">
        <color rgb="FF6D8289"/>
      </bottom>
      <diagonal/>
    </border>
    <border>
      <left/>
      <right style="thin">
        <color rgb="FF6D8289"/>
      </right>
      <top style="thin">
        <color rgb="FFF26A32"/>
      </top>
      <bottom style="thin">
        <color rgb="FF6D8289"/>
      </bottom>
      <diagonal/>
    </border>
    <border>
      <left style="thin">
        <color rgb="FF6D8289"/>
      </left>
      <right/>
      <top style="thin">
        <color rgb="FF6D8289"/>
      </top>
      <bottom style="thin">
        <color rgb="FF6D8289"/>
      </bottom>
      <diagonal/>
    </border>
    <border>
      <left/>
      <right/>
      <top style="thin">
        <color rgb="FF6D8289"/>
      </top>
      <bottom style="thin">
        <color rgb="FF6D8289"/>
      </bottom>
      <diagonal/>
    </border>
    <border>
      <left/>
      <right style="thin">
        <color rgb="FF6D8289"/>
      </right>
      <top style="thin">
        <color rgb="FF6D8289"/>
      </top>
      <bottom style="thin">
        <color rgb="FF6D8289"/>
      </bottom>
      <diagonal/>
    </border>
    <border>
      <left/>
      <right style="thin">
        <color rgb="FF6D8289"/>
      </right>
      <top/>
      <bottom/>
      <diagonal/>
    </border>
    <border>
      <left style="thin">
        <color rgb="FF6D8289"/>
      </left>
      <right/>
      <top/>
      <bottom/>
      <diagonal/>
    </border>
    <border>
      <left style="thin">
        <color rgb="FF6D8289"/>
      </left>
      <right style="thin">
        <color rgb="FF6D8289"/>
      </right>
      <top style="thin">
        <color rgb="FF6D8289"/>
      </top>
      <bottom style="thin">
        <color rgb="FF6D8289"/>
      </bottom>
      <diagonal/>
    </border>
    <border>
      <left/>
      <right/>
      <top/>
      <bottom style="thin">
        <color rgb="FF6D8289"/>
      </bottom>
      <diagonal/>
    </border>
    <border>
      <left/>
      <right style="thin">
        <color rgb="FF6D8289"/>
      </right>
      <top/>
      <bottom style="thin">
        <color rgb="FF6D8289"/>
      </bottom>
      <diagonal/>
    </border>
    <border>
      <left style="thin">
        <color rgb="FF6D8289"/>
      </left>
      <right/>
      <top style="thin">
        <color rgb="FF6D8289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6D8289"/>
      </left>
      <right/>
      <top/>
      <bottom style="thin">
        <color rgb="FF6D8289"/>
      </bottom>
      <diagonal/>
    </border>
    <border>
      <left style="thin">
        <color rgb="FF6D8289"/>
      </left>
      <right style="thin">
        <color rgb="FF6D8289"/>
      </right>
      <top style="thin">
        <color rgb="FF6D8289"/>
      </top>
      <bottom/>
      <diagonal/>
    </border>
    <border>
      <left style="thin">
        <color rgb="FF6D8289"/>
      </left>
      <right/>
      <top style="thin">
        <color theme="0"/>
      </top>
      <bottom/>
      <diagonal/>
    </border>
    <border>
      <left/>
      <right style="thin">
        <color rgb="FF6D8289"/>
      </right>
      <top style="thin">
        <color theme="0"/>
      </top>
      <bottom/>
      <diagonal/>
    </border>
  </borders>
  <cellStyleXfs count="1">
    <xf numFmtId="0" fontId="0" fillId="0" borderId="0"/>
  </cellStyleXfs>
  <cellXfs count="98">
    <xf numFmtId="0" fontId="0" fillId="0" borderId="0" xfId="0"/>
    <xf numFmtId="0" fontId="4" fillId="2" borderId="0" xfId="0" applyFon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 applyAlignment="1">
      <alignment horizontal="right"/>
    </xf>
    <xf numFmtId="0" fontId="5" fillId="2" borderId="1" xfId="0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right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0" fillId="2" borderId="12" xfId="0" applyFill="1" applyBorder="1"/>
    <xf numFmtId="0" fontId="0" fillId="2" borderId="2" xfId="0" applyFill="1" applyBorder="1"/>
    <xf numFmtId="0" fontId="0" fillId="0" borderId="2" xfId="0" applyBorder="1"/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0" xfId="0" applyAlignment="1">
      <alignment horizontal="left"/>
    </xf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1" fillId="3" borderId="18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0" fillId="0" borderId="11" xfId="0" applyBorder="1" applyAlignment="1">
      <alignment horizontal="left"/>
    </xf>
    <xf numFmtId="1" fontId="0" fillId="5" borderId="11" xfId="0" applyNumberFormat="1" applyFill="1" applyBorder="1" applyAlignment="1">
      <alignment horizontal="right"/>
    </xf>
    <xf numFmtId="1" fontId="0" fillId="5" borderId="6" xfId="0" applyNumberFormat="1" applyFill="1" applyBorder="1" applyAlignment="1">
      <alignment horizontal="right"/>
    </xf>
    <xf numFmtId="49" fontId="0" fillId="5" borderId="8" xfId="0" applyNumberFormat="1" applyFill="1" applyBorder="1" applyAlignment="1">
      <alignment horizontal="left"/>
    </xf>
    <xf numFmtId="49" fontId="0" fillId="5" borderId="11" xfId="0" applyNumberFormat="1" applyFill="1" applyBorder="1" applyAlignment="1">
      <alignment horizontal="left"/>
    </xf>
    <xf numFmtId="0" fontId="0" fillId="5" borderId="11" xfId="0" applyFill="1" applyBorder="1" applyAlignment="1">
      <alignment horizontal="right"/>
    </xf>
    <xf numFmtId="49" fontId="0" fillId="5" borderId="11" xfId="0" applyNumberFormat="1" applyFill="1" applyBorder="1" applyAlignment="1">
      <alignment horizontal="right"/>
    </xf>
    <xf numFmtId="49" fontId="0" fillId="5" borderId="6" xfId="0" applyNumberFormat="1" applyFill="1" applyBorder="1" applyAlignment="1">
      <alignment horizontal="right"/>
    </xf>
    <xf numFmtId="0" fontId="9" fillId="2" borderId="0" xfId="0" applyFont="1" applyFill="1" applyAlignment="1">
      <alignment horizontal="center" vertical="top"/>
    </xf>
    <xf numFmtId="0" fontId="6" fillId="2" borderId="0" xfId="0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right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7" fillId="0" borderId="1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12" fillId="0" borderId="11" xfId="0" applyFont="1" applyBorder="1" applyAlignment="1">
      <alignment horizontal="left"/>
    </xf>
    <xf numFmtId="2" fontId="0" fillId="5" borderId="11" xfId="0" applyNumberFormat="1" applyFill="1" applyBorder="1" applyAlignment="1">
      <alignment horizontal="right"/>
    </xf>
    <xf numFmtId="2" fontId="0" fillId="5" borderId="6" xfId="0" applyNumberFormat="1" applyFill="1" applyBorder="1" applyAlignment="1">
      <alignment horizontal="right"/>
    </xf>
    <xf numFmtId="0" fontId="7" fillId="2" borderId="14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top"/>
    </xf>
    <xf numFmtId="0" fontId="7" fillId="2" borderId="10" xfId="0" applyFont="1" applyFill="1" applyBorder="1" applyAlignment="1">
      <alignment horizontal="left" vertical="top"/>
    </xf>
    <xf numFmtId="0" fontId="7" fillId="2" borderId="0" xfId="0" applyFont="1" applyFill="1" applyAlignment="1">
      <alignment horizontal="left" vertical="top"/>
    </xf>
    <xf numFmtId="0" fontId="7" fillId="2" borderId="9" xfId="0" applyFont="1" applyFill="1" applyBorder="1" applyAlignment="1">
      <alignment horizontal="left" vertical="top"/>
    </xf>
    <xf numFmtId="0" fontId="7" fillId="2" borderId="16" xfId="0" applyFont="1" applyFill="1" applyBorder="1" applyAlignment="1">
      <alignment horizontal="left" vertical="top"/>
    </xf>
    <xf numFmtId="0" fontId="7" fillId="2" borderId="12" xfId="0" applyFont="1" applyFill="1" applyBorder="1" applyAlignment="1">
      <alignment horizontal="left" vertical="top"/>
    </xf>
    <xf numFmtId="0" fontId="7" fillId="2" borderId="13" xfId="0" applyFont="1" applyFill="1" applyBorder="1" applyAlignment="1">
      <alignment horizontal="left" vertical="top"/>
    </xf>
    <xf numFmtId="2" fontId="0" fillId="5" borderId="7" xfId="0" applyNumberFormat="1" applyFill="1" applyBorder="1" applyAlignment="1">
      <alignment horizontal="right"/>
    </xf>
    <xf numFmtId="49" fontId="0" fillId="5" borderId="7" xfId="0" applyNumberFormat="1" applyFill="1" applyBorder="1" applyAlignment="1">
      <alignment horizontal="left"/>
    </xf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  <xf numFmtId="14" fontId="0" fillId="2" borderId="7" xfId="0" applyNumberFormat="1" applyFill="1" applyBorder="1" applyAlignment="1">
      <alignment horizontal="center"/>
    </xf>
    <xf numFmtId="14" fontId="0" fillId="2" borderId="8" xfId="0" applyNumberFormat="1" applyFill="1" applyBorder="1" applyAlignment="1">
      <alignment horizontal="center"/>
    </xf>
    <xf numFmtId="0" fontId="2" fillId="5" borderId="6" xfId="0" applyFont="1" applyFill="1" applyBorder="1" applyAlignment="1">
      <alignment horizontal="left"/>
    </xf>
    <xf numFmtId="0" fontId="2" fillId="5" borderId="7" xfId="0" applyFont="1" applyFill="1" applyBorder="1" applyAlignment="1">
      <alignment horizontal="left"/>
    </xf>
    <xf numFmtId="0" fontId="2" fillId="5" borderId="8" xfId="0" applyFont="1" applyFill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2" borderId="8" xfId="0" applyFill="1" applyBorder="1" applyAlignment="1">
      <alignment horizontal="left"/>
    </xf>
    <xf numFmtId="0" fontId="7" fillId="4" borderId="8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left" vertical="center"/>
    </xf>
    <xf numFmtId="0" fontId="7" fillId="5" borderId="7" xfId="0" applyFont="1" applyFill="1" applyBorder="1" applyAlignment="1">
      <alignment horizontal="left" vertical="center"/>
    </xf>
    <xf numFmtId="0" fontId="7" fillId="5" borderId="8" xfId="0" applyFont="1" applyFill="1" applyBorder="1" applyAlignment="1">
      <alignment horizontal="left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left" vertical="center"/>
    </xf>
    <xf numFmtId="14" fontId="3" fillId="2" borderId="11" xfId="0" applyNumberFormat="1" applyFont="1" applyFill="1" applyBorder="1" applyAlignment="1">
      <alignment horizontal="left" vertical="center"/>
    </xf>
    <xf numFmtId="0" fontId="7" fillId="5" borderId="11" xfId="0" applyFont="1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49" fontId="0" fillId="5" borderId="11" xfId="0" applyNumberFormat="1" applyFill="1" applyBorder="1" applyAlignment="1">
      <alignment horizontal="center"/>
    </xf>
    <xf numFmtId="0" fontId="0" fillId="5" borderId="6" xfId="0" applyFill="1" applyBorder="1" applyAlignment="1">
      <alignment horizontal="right"/>
    </xf>
    <xf numFmtId="0" fontId="0" fillId="0" borderId="0" xfId="0" applyAlignment="1">
      <alignment horizontal="center" wrapText="1"/>
    </xf>
    <xf numFmtId="0" fontId="1" fillId="3" borderId="18" xfId="0" applyFont="1" applyFill="1" applyBorder="1" applyAlignment="1">
      <alignment horizontal="left"/>
    </xf>
    <xf numFmtId="0" fontId="1" fillId="3" borderId="15" xfId="0" applyFont="1" applyFill="1" applyBorder="1" applyAlignment="1">
      <alignment horizontal="left"/>
    </xf>
    <xf numFmtId="0" fontId="1" fillId="3" borderId="19" xfId="0" applyFont="1" applyFill="1" applyBorder="1" applyAlignment="1">
      <alignment horizontal="left"/>
    </xf>
    <xf numFmtId="164" fontId="0" fillId="5" borderId="11" xfId="0" applyNumberFormat="1" applyFill="1" applyBorder="1" applyAlignment="1">
      <alignment horizontal="center"/>
    </xf>
    <xf numFmtId="0" fontId="11" fillId="0" borderId="11" xfId="0" applyFont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65" fontId="0" fillId="5" borderId="11" xfId="0" applyNumberFormat="1" applyFill="1" applyBorder="1" applyAlignment="1">
      <alignment horizontal="right"/>
    </xf>
    <xf numFmtId="165" fontId="0" fillId="5" borderId="6" xfId="0" applyNumberFormat="1" applyFill="1" applyBorder="1" applyAlignment="1">
      <alignment horizontal="right"/>
    </xf>
    <xf numFmtId="0" fontId="1" fillId="3" borderId="1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D8289"/>
      <color rgb="FFF26A32"/>
      <color rgb="FFDAE0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117230</xdr:colOff>
      <xdr:row>33</xdr:row>
      <xdr:rowOff>8058</xdr:rowOff>
    </xdr:from>
    <xdr:ext cx="1663212" cy="39492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571BC93-E588-88CD-0398-2ED4BA3802BB}"/>
                </a:ext>
              </a:extLst>
            </xdr:cNvPr>
            <xdr:cNvSpPr txBox="1"/>
          </xdr:nvSpPr>
          <xdr:spPr>
            <a:xfrm>
              <a:off x="117230" y="5869596"/>
              <a:ext cx="1663212" cy="394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A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𝜋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  <m:r>
                          <a:rPr lang="es-E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 </m:t>
                        </m:r>
                        <m:sSub>
                          <m:sSubPr>
                            <m:ctrlP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sty m:val="p"/>
                              </m:rPr>
                              <a:rPr lang="el-GR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Φ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𝑎</m:t>
                            </m:r>
                          </m:sub>
                        </m:sSub>
                      </m:num>
                      <m:den>
                        <m:rad>
                          <m:radPr>
                            <m:degHide m:val="on"/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2</m:t>
                            </m:r>
                          </m:e>
                        </m:rad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6" name="CuadroTexto 5">
              <a:extLst>
                <a:ext uri="{FF2B5EF4-FFF2-40B4-BE49-F238E27FC236}">
                  <a16:creationId xmlns:a16="http://schemas.microsoft.com/office/drawing/2014/main" id="{0571BC93-E588-88CD-0398-2ED4BA3802BB}"/>
                </a:ext>
              </a:extLst>
            </xdr:cNvPr>
            <xdr:cNvSpPr txBox="1"/>
          </xdr:nvSpPr>
          <xdr:spPr>
            <a:xfrm>
              <a:off x="117230" y="5869596"/>
              <a:ext cx="1663212" cy="39492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𝑣</a:t>
              </a:r>
              <a:r>
                <a:rPr lang="es-AR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𝑡=(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𝜋 𝑓 </a:t>
              </a:r>
              <a:r>
                <a:rPr lang="el-GR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Φ</a:t>
              </a:r>
              <a:r>
                <a:rPr lang="es-E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_𝑎)/√</a:t>
              </a:r>
              <a:r>
                <a:rPr lang="es-ES" sz="1100" b="0" i="0">
                  <a:latin typeface="Cambria Math" panose="02040503050406030204" pitchFamily="18" charset="0"/>
                </a:rPr>
                <a:t>2</a:t>
              </a:r>
              <a:endParaRPr lang="es-AR" sz="1100"/>
            </a:p>
          </xdr:txBody>
        </xdr:sp>
      </mc:Fallback>
    </mc:AlternateContent>
    <xdr:clientData/>
  </xdr:oneCellAnchor>
  <xdr:oneCellAnchor>
    <xdr:from>
      <xdr:col>15</xdr:col>
      <xdr:colOff>15387</xdr:colOff>
      <xdr:row>32</xdr:row>
      <xdr:rowOff>52021</xdr:rowOff>
    </xdr:from>
    <xdr:ext cx="1896940" cy="66601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F42B343-8ECE-2AF2-3C58-3F0E0FDD943C}"/>
                </a:ext>
              </a:extLst>
            </xdr:cNvPr>
            <xdr:cNvSpPr txBox="1"/>
          </xdr:nvSpPr>
          <xdr:spPr>
            <a:xfrm>
              <a:off x="2762983" y="5730386"/>
              <a:ext cx="1896940" cy="6660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m:rPr>
                            <m:sty m:val="p"/>
                          </m:rPr>
                          <a:rPr lang="el-GR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Φ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𝑎</m:t>
                        </m:r>
                      </m:sub>
                    </m:sSub>
                    <m:r>
                      <a:rPr lang="es-ES" sz="1100" b="0" i="0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=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f>
                          <m:fPr>
                            <m:type m:val="skw"/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fPr>
                          <m:num>
                            <m:sSub>
                              <m:sSubPr>
                                <m:ctrlP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𝑉</m:t>
                                </m:r>
                              </m:e>
                              <m:sub>
                                <m: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𝐿</m:t>
                                </m:r>
                              </m:sub>
                            </m:sSub>
                          </m:num>
                          <m:den>
                            <m:rad>
                              <m:radPr>
                                <m:degHide m:val="on"/>
                                <m:ctrlP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radPr>
                              <m:deg/>
                              <m:e>
                                <m:r>
                                  <a:rPr lang="es-E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e>
                            </m:rad>
                          </m:den>
                        </m:f>
                      </m:num>
                      <m:den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4,44 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𝑝h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𝑓</m:t>
                        </m:r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7" name="CuadroTexto 6">
              <a:extLst>
                <a:ext uri="{FF2B5EF4-FFF2-40B4-BE49-F238E27FC236}">
                  <a16:creationId xmlns:a16="http://schemas.microsoft.com/office/drawing/2014/main" id="{AF42B343-8ECE-2AF2-3C58-3F0E0FDD943C}"/>
                </a:ext>
              </a:extLst>
            </xdr:cNvPr>
            <xdr:cNvSpPr txBox="1"/>
          </xdr:nvSpPr>
          <xdr:spPr>
            <a:xfrm>
              <a:off x="2762983" y="5730386"/>
              <a:ext cx="1896940" cy="66601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l-GR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Φ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_𝑎=(𝑉_𝐿⁄√3)/(4,44 𝐾 𝑇_𝑝ℎ  𝑓)</a:t>
              </a:r>
              <a:endParaRPr lang="es-AR" sz="1100"/>
            </a:p>
          </xdr:txBody>
        </xdr:sp>
      </mc:Fallback>
    </mc:AlternateContent>
    <xdr:clientData/>
  </xdr:oneCellAnchor>
  <xdr:oneCellAnchor>
    <xdr:from>
      <xdr:col>0</xdr:col>
      <xdr:colOff>57149</xdr:colOff>
      <xdr:row>36</xdr:row>
      <xdr:rowOff>6594</xdr:rowOff>
    </xdr:from>
    <xdr:ext cx="1928447" cy="41104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0BFCB2A-B24B-4F1E-BF97-19DF438E95D7}"/>
                </a:ext>
              </a:extLst>
            </xdr:cNvPr>
            <xdr:cNvSpPr txBox="1"/>
          </xdr:nvSpPr>
          <xdr:spPr>
            <a:xfrm>
              <a:off x="57149" y="6417652"/>
              <a:ext cx="1928447" cy="41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A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 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4,44 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𝑝h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ad>
                          <m:radPr>
                            <m:degHide m:val="on"/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e>
                        </m:rad>
                        <m:rad>
                          <m:radPr>
                            <m:degHide m:val="on"/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</m:rad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   </m:t>
                    </m:r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8" name="CuadroTexto 7">
              <a:extLst>
                <a:ext uri="{FF2B5EF4-FFF2-40B4-BE49-F238E27FC236}">
                  <a16:creationId xmlns:a16="http://schemas.microsoft.com/office/drawing/2014/main" id="{90BFCB2A-B24B-4F1E-BF97-19DF438E95D7}"/>
                </a:ext>
              </a:extLst>
            </xdr:cNvPr>
            <xdr:cNvSpPr txBox="1"/>
          </xdr:nvSpPr>
          <xdr:spPr>
            <a:xfrm>
              <a:off x="57149" y="6417652"/>
              <a:ext cx="1928447" cy="41104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𝑣</a:t>
              </a:r>
              <a:r>
                <a:rPr lang="es-AR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𝑡=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(𝜋 𝑉_𝐿)/(4,44 𝐾 𝑇_𝑝ℎ  √3 √2) </a:t>
              </a:r>
              <a:r>
                <a:rPr lang="es-ES" sz="1100" b="0" i="0">
                  <a:latin typeface="Cambria Math" panose="02040503050406030204" pitchFamily="18" charset="0"/>
                </a:rPr>
                <a:t>   </a:t>
              </a:r>
              <a:endParaRPr lang="es-AR" sz="1100"/>
            </a:p>
          </xdr:txBody>
        </xdr:sp>
      </mc:Fallback>
    </mc:AlternateContent>
    <xdr:clientData/>
  </xdr:oneCellAnchor>
  <xdr:oneCellAnchor>
    <xdr:from>
      <xdr:col>18</xdr:col>
      <xdr:colOff>63011</xdr:colOff>
      <xdr:row>36</xdr:row>
      <xdr:rowOff>12455</xdr:rowOff>
    </xdr:from>
    <xdr:ext cx="2353409" cy="4125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600D47EF-C76A-4D7B-ABDA-3999D634165A}"/>
                </a:ext>
              </a:extLst>
            </xdr:cNvPr>
            <xdr:cNvSpPr txBox="1"/>
          </xdr:nvSpPr>
          <xdr:spPr>
            <a:xfrm>
              <a:off x="3360126" y="6423513"/>
              <a:ext cx="2353409" cy="412506"/>
            </a:xfrm>
            <a:prstGeom prst="rect">
              <a:avLst/>
            </a:prstGeom>
            <a:ln>
              <a:solidFill>
                <a:srgbClr val="6D8289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A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𝑡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′=0,04 </m:t>
                    </m:r>
                    <m:f>
                      <m:f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𝑉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𝐿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4,44 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𝐾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𝑇</m:t>
                            </m:r>
                          </m:e>
                          <m:sub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𝑝h</m:t>
                            </m:r>
                          </m:sub>
                        </m:s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ad>
                          <m:radPr>
                            <m:degHide m:val="on"/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3</m:t>
                            </m:r>
                          </m:e>
                        </m:rad>
                        <m:rad>
                          <m:radPr>
                            <m:degHide m:val="on"/>
                            <m:ctrlP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radPr>
                          <m:deg/>
                          <m:e>
                            <m:r>
                              <a:rPr lang="es-E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</m:rad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   </m:t>
                    </m:r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9" name="CuadroTexto 8">
              <a:extLst>
                <a:ext uri="{FF2B5EF4-FFF2-40B4-BE49-F238E27FC236}">
                  <a16:creationId xmlns:a16="http://schemas.microsoft.com/office/drawing/2014/main" id="{600D47EF-C76A-4D7B-ABDA-3999D634165A}"/>
                </a:ext>
              </a:extLst>
            </xdr:cNvPr>
            <xdr:cNvSpPr txBox="1"/>
          </xdr:nvSpPr>
          <xdr:spPr>
            <a:xfrm>
              <a:off x="3360126" y="6423513"/>
              <a:ext cx="2353409" cy="412506"/>
            </a:xfrm>
            <a:prstGeom prst="rect">
              <a:avLst/>
            </a:prstGeom>
            <a:ln>
              <a:solidFill>
                <a:srgbClr val="6D8289"/>
              </a:solidFill>
            </a:ln>
          </xdr:spPr>
          <xdr:style>
            <a:lnRef idx="2">
              <a:schemeClr val="accent1"/>
            </a:lnRef>
            <a:fillRef idx="1">
              <a:schemeClr val="lt1"/>
            </a:fillRef>
            <a:effectRef idx="0">
              <a:schemeClr val="accent1"/>
            </a:effectRef>
            <a:fontRef idx="minor">
              <a:schemeClr val="dk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s-ES" sz="1100" b="0" i="0">
                  <a:latin typeface="Cambria Math" panose="02040503050406030204" pitchFamily="18" charset="0"/>
                </a:rPr>
                <a:t>𝑣</a:t>
              </a:r>
              <a:r>
                <a:rPr lang="es-AR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𝑡′=0,04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(𝜋 𝑉_𝐿)/(4,44 𝐾 𝑇_𝑝ℎ  √3 √2) </a:t>
              </a:r>
              <a:r>
                <a:rPr lang="es-ES" sz="1100" b="0" i="0">
                  <a:latin typeface="Cambria Math" panose="02040503050406030204" pitchFamily="18" charset="0"/>
                </a:rPr>
                <a:t>   </a:t>
              </a:r>
              <a:endParaRPr lang="es-AR" sz="1100"/>
            </a:p>
          </xdr:txBody>
        </xdr:sp>
      </mc:Fallback>
    </mc:AlternateContent>
    <xdr:clientData/>
  </xdr:oneCellAnchor>
  <xdr:twoCellAnchor>
    <xdr:from>
      <xdr:col>9</xdr:col>
      <xdr:colOff>131884</xdr:colOff>
      <xdr:row>34</xdr:row>
      <xdr:rowOff>18683</xdr:rowOff>
    </xdr:from>
    <xdr:to>
      <xdr:col>15</xdr:col>
      <xdr:colOff>15387</xdr:colOff>
      <xdr:row>34</xdr:row>
      <xdr:rowOff>22346</xdr:rowOff>
    </xdr:to>
    <xdr:cxnSp macro="">
      <xdr:nvCxnSpPr>
        <xdr:cNvPr id="11" name="Conector recto de flecha 10">
          <a:extLst>
            <a:ext uri="{FF2B5EF4-FFF2-40B4-BE49-F238E27FC236}">
              <a16:creationId xmlns:a16="http://schemas.microsoft.com/office/drawing/2014/main" id="{DC207F53-A1D0-4F38-6C34-C488E9D66165}"/>
            </a:ext>
          </a:extLst>
        </xdr:cNvPr>
        <xdr:cNvCxnSpPr>
          <a:stCxn id="6" idx="3"/>
          <a:endCxn id="7" idx="1"/>
        </xdr:cNvCxnSpPr>
      </xdr:nvCxnSpPr>
      <xdr:spPr>
        <a:xfrm flipV="1">
          <a:off x="1780442" y="6063395"/>
          <a:ext cx="982541" cy="3663"/>
        </a:xfrm>
        <a:prstGeom prst="straightConnector1">
          <a:avLst/>
        </a:prstGeom>
        <a:ln>
          <a:solidFill>
            <a:srgbClr val="6D828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153865</xdr:colOff>
      <xdr:row>37</xdr:row>
      <xdr:rowOff>28941</xdr:rowOff>
    </xdr:from>
    <xdr:to>
      <xdr:col>18</xdr:col>
      <xdr:colOff>63011</xdr:colOff>
      <xdr:row>37</xdr:row>
      <xdr:rowOff>35535</xdr:rowOff>
    </xdr:to>
    <xdr:cxnSp macro="">
      <xdr:nvCxnSpPr>
        <xdr:cNvPr id="17" name="Conector recto de flecha 16">
          <a:extLst>
            <a:ext uri="{FF2B5EF4-FFF2-40B4-BE49-F238E27FC236}">
              <a16:creationId xmlns:a16="http://schemas.microsoft.com/office/drawing/2014/main" id="{51127EE2-938C-42FE-9701-C8755409FFF6}"/>
            </a:ext>
          </a:extLst>
        </xdr:cNvPr>
        <xdr:cNvCxnSpPr>
          <a:stCxn id="8" idx="3"/>
          <a:endCxn id="9" idx="1"/>
        </xdr:cNvCxnSpPr>
      </xdr:nvCxnSpPr>
      <xdr:spPr>
        <a:xfrm>
          <a:off x="1985596" y="6623172"/>
          <a:ext cx="1374530" cy="6594"/>
        </a:xfrm>
        <a:prstGeom prst="straightConnector1">
          <a:avLst/>
        </a:prstGeom>
        <a:ln>
          <a:solidFill>
            <a:srgbClr val="6D8289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4</xdr:col>
      <xdr:colOff>128587</xdr:colOff>
      <xdr:row>45</xdr:row>
      <xdr:rowOff>152400</xdr:rowOff>
    </xdr:from>
    <xdr:ext cx="3146181" cy="32028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B6868FA-FB64-89E6-7F00-F7DC6373EA59}"/>
                </a:ext>
              </a:extLst>
            </xdr:cNvPr>
            <xdr:cNvSpPr txBox="1"/>
          </xdr:nvSpPr>
          <xdr:spPr>
            <a:xfrm>
              <a:off x="852487" y="8296275"/>
              <a:ext cx="314618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A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=4,44 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𝑓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0,04 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𝐵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𝑛𝑜𝑚</m:t>
                        </m:r>
                      </m:sub>
                    </m:sSub>
                    <m:f>
                      <m:f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𝑒𝑥𝑡</m:t>
                            </m:r>
                          </m:sub>
                        </m:s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−</m:t>
                        </m:r>
                        <m:sSub>
                          <m:sSubPr>
                            <m:ctrlPr>
                              <a:rPr lang="es-E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𝑑</m:t>
                            </m:r>
                          </m:e>
                          <m:sub>
                            <m:r>
                              <a:rPr lang="es-ES" sz="1100" b="0" i="1">
                                <a:latin typeface="Cambria Math" panose="02040503050406030204" pitchFamily="18" charset="0"/>
                              </a:rPr>
                              <m:t>𝑖𝑛𝑡</m:t>
                            </m:r>
                          </m:sub>
                        </m:sSub>
                      </m:num>
                      <m:den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2</m:t>
                        </m:r>
                      </m:den>
                    </m:f>
                    <m:r>
                      <a:rPr lang="es-ES" sz="1100" b="0" i="1">
                        <a:latin typeface="Cambria Math" panose="02040503050406030204" pitchFamily="18" charset="0"/>
                      </a:rPr>
                      <m:t> (</m:t>
                    </m:r>
                    <m:sSub>
                      <m:sSubPr>
                        <m:ctrlPr>
                          <a:rPr lang="es-E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𝑙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𝑡𝑜𝑡𝑎𝑙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−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𝑁</m:t>
                    </m:r>
                    <m:sSub>
                      <m:sSubPr>
                        <m:ctrlP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sSubPr>
                      <m:e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𝑙</m:t>
                        </m:r>
                      </m:e>
                      <m:sub>
                        <m:r>
                          <a:rPr lang="es-ES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𝑣𝑒𝑛𝑡</m:t>
                        </m:r>
                      </m:sub>
                    </m:sSub>
                    <m:r>
                      <a:rPr lang="es-ES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)</m:t>
                    </m:r>
                    <m:r>
                      <a:rPr lang="es-ES" sz="1100" b="0" i="1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13" name="CuadroTexto 12">
              <a:extLst>
                <a:ext uri="{FF2B5EF4-FFF2-40B4-BE49-F238E27FC236}">
                  <a16:creationId xmlns:a16="http://schemas.microsoft.com/office/drawing/2014/main" id="{DB6868FA-FB64-89E6-7F00-F7DC6373EA59}"/>
                </a:ext>
              </a:extLst>
            </xdr:cNvPr>
            <xdr:cNvSpPr txBox="1"/>
          </xdr:nvSpPr>
          <xdr:spPr>
            <a:xfrm>
              <a:off x="852487" y="8296275"/>
              <a:ext cx="3146181" cy="32028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𝑣</a:t>
              </a:r>
              <a:r>
                <a:rPr lang="es-AR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𝑎=4,44 𝑓 0,04 𝐵_𝑛𝑜𝑚  (𝑑_𝑒𝑥𝑡−𝑑_𝑖𝑛𝑡)/2  (𝑙_𝑡𝑜𝑡𝑎𝑙−𝑁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𝑙〗_</a:t>
              </a:r>
              <a:r>
                <a:rPr lang="es-E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𝑣𝑒𝑛𝑡)</a:t>
              </a:r>
              <a:r>
                <a:rPr lang="es-ES" sz="1100" b="0" i="0">
                  <a:latin typeface="Cambria Math" panose="02040503050406030204" pitchFamily="18" charset="0"/>
                </a:rPr>
                <a:t> </a:t>
              </a:r>
              <a:endParaRPr lang="es-AR" sz="1100"/>
            </a:p>
          </xdr:txBody>
        </xdr:sp>
      </mc:Fallback>
    </mc:AlternateContent>
    <xdr:clientData/>
  </xdr:oneCellAnchor>
  <xdr:oneCellAnchor>
    <xdr:from>
      <xdr:col>4</xdr:col>
      <xdr:colOff>128587</xdr:colOff>
      <xdr:row>55</xdr:row>
      <xdr:rowOff>152400</xdr:rowOff>
    </xdr:from>
    <xdr:ext cx="2593980" cy="320344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B54786E4-613A-4702-8C4F-79F05C323371}"/>
                </a:ext>
              </a:extLst>
            </xdr:cNvPr>
            <xdr:cNvSpPr txBox="1"/>
          </xdr:nvSpPr>
          <xdr:spPr>
            <a:xfrm>
              <a:off x="852487" y="10106025"/>
              <a:ext cx="2593980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s-AR" sz="110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𝑣</m:t>
                        </m:r>
                      </m:e>
                      <m:sub>
                        <m:r>
                          <a:rPr lang="es-ES" sz="1100" b="0" i="1">
                            <a:latin typeface="Cambria Math" panose="02040503050406030204" pitchFamily="18" charset="0"/>
                          </a:rPr>
                          <m:t>𝑎</m:t>
                        </m:r>
                      </m:sub>
                    </m:sSub>
                    <m:r>
                      <a:rPr lang="es-E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A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4,44  </m:t>
                    </m:r>
                    <m:r>
                      <a:rPr lang="es-A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𝑓</m:t>
                    </m:r>
                    <m:r>
                      <a:rPr lang="es-AR" sz="110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 0,04 </m:t>
                    </m:r>
                    <m:f>
                      <m:fPr>
                        <m:ctrlPr>
                          <a:rPr lang="es-A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𝐵</m:t>
                            </m:r>
                          </m:e>
                          <m:sub>
                            <m: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𝑛𝑜𝑚</m:t>
                            </m:r>
                          </m:sub>
                        </m:sSub>
                        <m:r>
                          <a:rPr lang="es-A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0,25 </m:t>
                        </m:r>
                        <m:r>
                          <a:rPr lang="es-A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𝜋</m:t>
                        </m:r>
                        <m:r>
                          <a:rPr lang="es-A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𝑑</m:t>
                            </m:r>
                          </m:e>
                          <m:sub>
                            <m: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𝑟𝑜𝑡𝑜𝑟</m:t>
                            </m:r>
                          </m:sub>
                        </m:sSub>
                        <m:r>
                          <a:rPr lang="es-A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 </m:t>
                        </m:r>
                        <m:sSub>
                          <m:sSubPr>
                            <m:ctrlP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bPr>
                          <m:e>
                            <m: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𝑙</m:t>
                            </m:r>
                          </m:e>
                          <m:sub>
                            <m:r>
                              <a:rPr lang="es-AR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𝑟𝑜𝑡𝑜𝑟</m:t>
                            </m:r>
                          </m:sub>
                        </m:sSub>
                      </m:num>
                      <m:den>
                        <m:r>
                          <a:rPr lang="es-AR" sz="110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2</m:t>
                        </m:r>
                      </m:den>
                    </m:f>
                  </m:oMath>
                </m:oMathPara>
              </a14:m>
              <a:endParaRPr lang="es-AR" sz="1100"/>
            </a:p>
          </xdr:txBody>
        </xdr:sp>
      </mc:Choice>
      <mc:Fallback xmlns="">
        <xdr:sp macro="" textlink="">
          <xdr:nvSpPr>
            <xdr:cNvPr id="14" name="CuadroTexto 13">
              <a:extLst>
                <a:ext uri="{FF2B5EF4-FFF2-40B4-BE49-F238E27FC236}">
                  <a16:creationId xmlns:a16="http://schemas.microsoft.com/office/drawing/2014/main" id="{B54786E4-613A-4702-8C4F-79F05C323371}"/>
                </a:ext>
              </a:extLst>
            </xdr:cNvPr>
            <xdr:cNvSpPr txBox="1"/>
          </xdr:nvSpPr>
          <xdr:spPr>
            <a:xfrm>
              <a:off x="852487" y="10106025"/>
              <a:ext cx="2593980" cy="32034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s-ES" sz="1100" b="0" i="0">
                  <a:latin typeface="Cambria Math" panose="02040503050406030204" pitchFamily="18" charset="0"/>
                </a:rPr>
                <a:t>𝑣</a:t>
              </a:r>
              <a:r>
                <a:rPr lang="es-AR" sz="1100" b="0" i="0">
                  <a:latin typeface="Cambria Math" panose="02040503050406030204" pitchFamily="18" charset="0"/>
                </a:rPr>
                <a:t>_</a:t>
              </a:r>
              <a:r>
                <a:rPr lang="es-ES" sz="1100" b="0" i="0">
                  <a:latin typeface="Cambria Math" panose="02040503050406030204" pitchFamily="18" charset="0"/>
                </a:rPr>
                <a:t>𝑎=</a:t>
              </a:r>
              <a:r>
                <a:rPr lang="es-AR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4,44  𝑓 0,04  (𝐵_𝑛𝑜𝑚  0,25 𝜋 𝑑_𝑟𝑜𝑡𝑜𝑟  𝑙_𝑟𝑜𝑡𝑜𝑟)/2</a:t>
              </a:r>
              <a:endParaRPr lang="es-AR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0ABD4-B773-4E9E-BE31-D09FEF4F2D39}">
  <sheetPr>
    <tabColor rgb="FF6D8289"/>
  </sheetPr>
  <dimension ref="A1:AV121"/>
  <sheetViews>
    <sheetView tabSelected="1" view="pageLayout" topLeftCell="A41" zoomScaleNormal="100" workbookViewId="0">
      <selection activeCell="AN49" sqref="AN49"/>
    </sheetView>
  </sheetViews>
  <sheetFormatPr baseColWidth="10" defaultColWidth="2.5703125" defaultRowHeight="14.45" customHeight="1" x14ac:dyDescent="0.25"/>
  <cols>
    <col min="37" max="37" width="7.5703125" bestFit="1" customWidth="1"/>
    <col min="38" max="38" width="4" bestFit="1" customWidth="1"/>
    <col min="39" max="39" width="12" bestFit="1" customWidth="1"/>
    <col min="40" max="40" width="5" bestFit="1" customWidth="1"/>
    <col min="43" max="43" width="5" bestFit="1" customWidth="1"/>
    <col min="44" max="44" width="12" bestFit="1" customWidth="1"/>
    <col min="48" max="48" width="12" bestFit="1" customWidth="1"/>
  </cols>
  <sheetData>
    <row r="1" spans="1:35" ht="14.45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3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4" t="s">
        <v>2</v>
      </c>
      <c r="AC1" s="2"/>
      <c r="AD1" s="2"/>
      <c r="AE1" s="2"/>
      <c r="AF1" s="2"/>
      <c r="AG1" s="2"/>
      <c r="AH1" s="2"/>
      <c r="AI1" s="5" t="s">
        <v>34</v>
      </c>
    </row>
    <row r="2" spans="1:35" ht="14.45" customHeight="1" x14ac:dyDescent="0.25">
      <c r="A2" s="1" t="s">
        <v>3</v>
      </c>
      <c r="B2" s="2"/>
      <c r="C2" s="2"/>
      <c r="D2" s="2"/>
      <c r="E2" s="2"/>
      <c r="F2" s="2"/>
      <c r="G2" s="2"/>
      <c r="H2" s="2"/>
      <c r="I2" s="3" t="s">
        <v>32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4" t="s">
        <v>4</v>
      </c>
      <c r="AC2" s="2"/>
      <c r="AD2" s="2"/>
      <c r="AE2" s="2"/>
      <c r="AF2" s="2"/>
      <c r="AG2" s="2"/>
      <c r="AH2" s="2"/>
      <c r="AI2" s="6" t="s">
        <v>36</v>
      </c>
    </row>
    <row r="3" spans="1:35" ht="14.45" customHeight="1" x14ac:dyDescent="0.25">
      <c r="A3" s="2"/>
      <c r="B3" s="2"/>
      <c r="C3" s="2"/>
      <c r="D3" s="2"/>
      <c r="E3" s="2"/>
      <c r="F3" s="2"/>
      <c r="G3" s="2"/>
      <c r="H3" s="2"/>
      <c r="I3" s="3" t="s">
        <v>33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4" t="s">
        <v>5</v>
      </c>
      <c r="AC3" s="2"/>
      <c r="AD3" s="2"/>
      <c r="AE3" s="2"/>
      <c r="AF3" s="2"/>
      <c r="AG3" s="2"/>
      <c r="AH3" s="2"/>
      <c r="AI3" s="6" t="s">
        <v>72</v>
      </c>
    </row>
    <row r="4" spans="1:35" ht="14.45" customHeigh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32">
        <v>1</v>
      </c>
      <c r="AI4" s="32"/>
    </row>
    <row r="5" spans="1:35" ht="14.45" customHeight="1" x14ac:dyDescent="0.25">
      <c r="A5" s="7"/>
      <c r="B5" s="7"/>
      <c r="C5" s="33" t="s">
        <v>35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2"/>
      <c r="AI5" s="32"/>
    </row>
    <row r="6" spans="1:35" ht="14.45" customHeight="1" x14ac:dyDescent="0.25">
      <c r="A6" s="7"/>
      <c r="B6" s="7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8"/>
      <c r="AI6" s="8"/>
    </row>
    <row r="7" spans="1:35" ht="14.45" customHeight="1" x14ac:dyDescent="0.25">
      <c r="A7" s="7"/>
      <c r="B7" s="7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</row>
    <row r="8" spans="1:35" ht="14.45" customHeight="1" x14ac:dyDescent="0.25">
      <c r="A8" s="39" t="s">
        <v>31</v>
      </c>
      <c r="B8" s="39"/>
      <c r="C8" s="39"/>
      <c r="D8" s="39"/>
      <c r="E8" s="35" t="s">
        <v>78</v>
      </c>
      <c r="F8" s="35"/>
      <c r="G8" s="35"/>
      <c r="H8" s="35"/>
      <c r="I8" s="35"/>
      <c r="J8" s="35"/>
      <c r="K8" s="35"/>
      <c r="L8" s="36" t="s">
        <v>28</v>
      </c>
      <c r="M8" s="36"/>
      <c r="N8" s="36"/>
      <c r="O8" s="35" t="s">
        <v>73</v>
      </c>
      <c r="P8" s="35"/>
      <c r="Q8" s="35"/>
      <c r="R8" s="35"/>
      <c r="S8" s="35"/>
      <c r="T8" s="36" t="s">
        <v>29</v>
      </c>
      <c r="U8" s="36"/>
      <c r="V8" s="36"/>
      <c r="W8" s="35" t="s">
        <v>42</v>
      </c>
      <c r="X8" s="35"/>
      <c r="Y8" s="35"/>
      <c r="Z8" s="35"/>
      <c r="AA8" s="35"/>
      <c r="AB8" s="36" t="s">
        <v>30</v>
      </c>
      <c r="AC8" s="36"/>
      <c r="AD8" s="36"/>
      <c r="AE8" s="35" t="s">
        <v>74</v>
      </c>
      <c r="AF8" s="35"/>
      <c r="AG8" s="35"/>
      <c r="AH8" s="35"/>
      <c r="AI8" s="35"/>
    </row>
    <row r="9" spans="1:35" ht="14.45" customHeight="1" x14ac:dyDescent="0.25">
      <c r="A9" s="34" t="s">
        <v>25</v>
      </c>
      <c r="B9" s="34"/>
      <c r="C9" s="34"/>
      <c r="D9" s="35" t="s">
        <v>75</v>
      </c>
      <c r="E9" s="35"/>
      <c r="F9" s="35"/>
      <c r="G9" s="35"/>
      <c r="H9" s="35"/>
      <c r="I9" s="35"/>
      <c r="J9" s="35"/>
      <c r="K9" s="35"/>
      <c r="L9" s="36" t="s">
        <v>26</v>
      </c>
      <c r="M9" s="36"/>
      <c r="N9" s="36"/>
      <c r="O9" s="36"/>
      <c r="P9" s="35" t="s">
        <v>76</v>
      </c>
      <c r="Q9" s="35"/>
      <c r="R9" s="35"/>
      <c r="S9" s="35"/>
      <c r="T9" s="35"/>
      <c r="U9" s="35"/>
      <c r="V9" s="35"/>
      <c r="W9" s="35"/>
      <c r="X9" s="35"/>
      <c r="Y9" s="36" t="s">
        <v>27</v>
      </c>
      <c r="Z9" s="36"/>
      <c r="AA9" s="36"/>
      <c r="AB9" s="35" t="s">
        <v>77</v>
      </c>
      <c r="AC9" s="35"/>
      <c r="AD9" s="35"/>
      <c r="AE9" s="35"/>
      <c r="AF9" s="35"/>
      <c r="AG9" s="35"/>
      <c r="AH9" s="35"/>
      <c r="AI9" s="35"/>
    </row>
    <row r="10" spans="1:35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</row>
    <row r="11" spans="1:35" ht="14.45" customHeight="1" x14ac:dyDescent="0.25">
      <c r="A11" s="37" t="s">
        <v>37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8"/>
    </row>
    <row r="12" spans="1:35" ht="14.45" customHeight="1" x14ac:dyDescent="0.25">
      <c r="A12" s="24" t="s">
        <v>9</v>
      </c>
      <c r="B12" s="24"/>
      <c r="C12" s="24"/>
      <c r="D12" s="24"/>
      <c r="E12" s="24"/>
      <c r="F12" s="24"/>
      <c r="G12" s="24"/>
      <c r="H12" s="24"/>
      <c r="I12" s="24"/>
      <c r="J12" s="85" t="s">
        <v>42</v>
      </c>
      <c r="K12" s="85"/>
      <c r="L12" s="85"/>
      <c r="M12" s="85"/>
      <c r="N12" s="85"/>
      <c r="O12" s="85"/>
      <c r="P12" s="85"/>
      <c r="Q12" s="85"/>
      <c r="R12" s="85"/>
      <c r="S12" s="24" t="s">
        <v>39</v>
      </c>
      <c r="T12" s="24"/>
      <c r="U12" s="24"/>
      <c r="V12" s="24"/>
      <c r="W12" s="24"/>
      <c r="X12" s="24"/>
      <c r="Y12" s="24"/>
      <c r="Z12" s="24"/>
      <c r="AA12" s="24"/>
      <c r="AB12" s="85" t="s">
        <v>43</v>
      </c>
      <c r="AC12" s="85"/>
      <c r="AD12" s="85"/>
      <c r="AE12" s="85"/>
      <c r="AF12" s="85"/>
      <c r="AG12" s="85"/>
      <c r="AH12" s="85"/>
      <c r="AI12" s="85"/>
    </row>
    <row r="13" spans="1:35" ht="14.45" customHeight="1" x14ac:dyDescent="0.25">
      <c r="A13" s="24" t="s">
        <v>40</v>
      </c>
      <c r="B13" s="24"/>
      <c r="C13" s="24"/>
      <c r="D13" s="24"/>
      <c r="E13" s="24"/>
      <c r="F13" s="24"/>
      <c r="G13" s="24"/>
      <c r="H13" s="24"/>
      <c r="I13" s="24"/>
      <c r="J13" s="86" t="s">
        <v>8</v>
      </c>
      <c r="K13" s="86"/>
      <c r="L13" s="86"/>
      <c r="M13" s="86"/>
      <c r="N13" s="86"/>
      <c r="O13" s="86"/>
      <c r="P13" s="86"/>
      <c r="Q13" s="86"/>
      <c r="R13" s="86"/>
      <c r="S13" s="24" t="s">
        <v>41</v>
      </c>
      <c r="T13" s="24"/>
      <c r="U13" s="24"/>
      <c r="V13" s="24"/>
      <c r="W13" s="24"/>
      <c r="X13" s="24"/>
      <c r="Y13" s="24"/>
      <c r="Z13" s="24"/>
      <c r="AA13" s="24"/>
      <c r="AB13" s="85">
        <v>1994</v>
      </c>
      <c r="AC13" s="85"/>
      <c r="AD13" s="85"/>
      <c r="AE13" s="85"/>
      <c r="AF13" s="85"/>
      <c r="AG13" s="85"/>
      <c r="AH13" s="85"/>
      <c r="AI13" s="85"/>
    </row>
    <row r="14" spans="1:35" ht="14.45" customHeight="1" x14ac:dyDescent="0.25">
      <c r="A14" s="24" t="s">
        <v>44</v>
      </c>
      <c r="B14" s="24"/>
      <c r="C14" s="24"/>
      <c r="D14" s="24"/>
      <c r="E14" s="24"/>
      <c r="F14" s="24"/>
      <c r="G14" s="24"/>
      <c r="H14" s="24"/>
      <c r="I14" s="24"/>
      <c r="J14" s="29">
        <v>66.765000000000001</v>
      </c>
      <c r="K14" s="30"/>
      <c r="L14" s="30"/>
      <c r="M14" s="30"/>
      <c r="N14" s="31"/>
      <c r="O14" s="27" t="s">
        <v>45</v>
      </c>
      <c r="P14" s="28"/>
      <c r="Q14" s="28"/>
      <c r="R14" s="28"/>
      <c r="S14" s="24" t="s">
        <v>46</v>
      </c>
      <c r="T14" s="24"/>
      <c r="U14" s="24"/>
      <c r="V14" s="24"/>
      <c r="W14" s="24"/>
      <c r="X14" s="24"/>
      <c r="Y14" s="24"/>
      <c r="Z14" s="24"/>
      <c r="AA14" s="24"/>
      <c r="AB14" s="29">
        <v>11.5</v>
      </c>
      <c r="AC14" s="30"/>
      <c r="AD14" s="30"/>
      <c r="AE14" s="30"/>
      <c r="AF14" s="31"/>
      <c r="AG14" s="27" t="s">
        <v>47</v>
      </c>
      <c r="AH14" s="28"/>
      <c r="AI14" s="28"/>
    </row>
    <row r="15" spans="1:35" ht="14.45" customHeight="1" x14ac:dyDescent="0.25">
      <c r="A15" s="24" t="s">
        <v>48</v>
      </c>
      <c r="B15" s="24"/>
      <c r="C15" s="24"/>
      <c r="D15" s="24"/>
      <c r="E15" s="24"/>
      <c r="F15" s="24"/>
      <c r="G15" s="24"/>
      <c r="H15" s="24"/>
      <c r="I15" s="24"/>
      <c r="J15" s="85">
        <v>0.85</v>
      </c>
      <c r="K15" s="86"/>
      <c r="L15" s="86"/>
      <c r="M15" s="86"/>
      <c r="N15" s="86"/>
      <c r="O15" s="86"/>
      <c r="P15" s="86"/>
      <c r="Q15" s="86"/>
      <c r="R15" s="86"/>
      <c r="S15" s="24" t="s">
        <v>49</v>
      </c>
      <c r="T15" s="24"/>
      <c r="U15" s="24"/>
      <c r="V15" s="24"/>
      <c r="W15" s="24"/>
      <c r="X15" s="24"/>
      <c r="Y15" s="24"/>
      <c r="Z15" s="24"/>
      <c r="AA15" s="24"/>
      <c r="AB15" s="29">
        <v>2850</v>
      </c>
      <c r="AC15" s="30"/>
      <c r="AD15" s="30"/>
      <c r="AE15" s="30"/>
      <c r="AF15" s="31"/>
      <c r="AG15" s="27" t="s">
        <v>38</v>
      </c>
      <c r="AH15" s="28"/>
      <c r="AI15" s="28"/>
    </row>
    <row r="16" spans="1:35" ht="14.45" customHeight="1" x14ac:dyDescent="0.25">
      <c r="A16" s="24" t="s">
        <v>50</v>
      </c>
      <c r="B16" s="24"/>
      <c r="C16" s="24"/>
      <c r="D16" s="24"/>
      <c r="E16" s="24"/>
      <c r="F16" s="24"/>
      <c r="G16" s="24"/>
      <c r="H16" s="24"/>
      <c r="I16" s="24"/>
      <c r="J16" s="29">
        <v>50</v>
      </c>
      <c r="K16" s="30"/>
      <c r="L16" s="30"/>
      <c r="M16" s="30"/>
      <c r="N16" s="31"/>
      <c r="O16" s="27" t="s">
        <v>7</v>
      </c>
      <c r="P16" s="28"/>
      <c r="Q16" s="28"/>
      <c r="R16" s="28"/>
      <c r="S16" s="24" t="s">
        <v>51</v>
      </c>
      <c r="T16" s="24"/>
      <c r="U16" s="24"/>
      <c r="V16" s="24"/>
      <c r="W16" s="24"/>
      <c r="X16" s="24"/>
      <c r="Y16" s="24"/>
      <c r="Z16" s="24"/>
      <c r="AA16" s="24"/>
      <c r="AB16" s="85">
        <v>3000</v>
      </c>
      <c r="AC16" s="85"/>
      <c r="AD16" s="85"/>
      <c r="AE16" s="85"/>
      <c r="AF16" s="85"/>
      <c r="AG16" s="85"/>
      <c r="AH16" s="85"/>
      <c r="AI16" s="85"/>
    </row>
    <row r="17" spans="1:44" ht="14.45" customHeight="1" x14ac:dyDescent="0.25">
      <c r="A17" s="24" t="s">
        <v>52</v>
      </c>
      <c r="B17" s="24"/>
      <c r="C17" s="24"/>
      <c r="D17" s="24"/>
      <c r="E17" s="24"/>
      <c r="F17" s="24"/>
      <c r="G17" s="24"/>
      <c r="H17" s="24"/>
      <c r="I17" s="24"/>
      <c r="J17" s="85">
        <v>2</v>
      </c>
      <c r="K17" s="86"/>
      <c r="L17" s="86"/>
      <c r="M17" s="86"/>
      <c r="N17" s="86"/>
      <c r="O17" s="86"/>
      <c r="P17" s="86"/>
      <c r="Q17" s="86"/>
      <c r="R17" s="86"/>
      <c r="S17" s="24" t="s">
        <v>53</v>
      </c>
      <c r="T17" s="24"/>
      <c r="U17" s="24"/>
      <c r="V17" s="24"/>
      <c r="W17" s="24"/>
      <c r="X17" s="24"/>
      <c r="Y17" s="24"/>
      <c r="Z17" s="24"/>
      <c r="AA17" s="24"/>
      <c r="AB17" s="85">
        <v>54</v>
      </c>
      <c r="AC17" s="85"/>
      <c r="AD17" s="85"/>
      <c r="AE17" s="85"/>
      <c r="AF17" s="85"/>
      <c r="AG17" s="85"/>
      <c r="AH17" s="85"/>
      <c r="AI17" s="85"/>
    </row>
    <row r="18" spans="1:44" ht="14.45" customHeight="1" x14ac:dyDescent="0.25">
      <c r="A18" s="24" t="s">
        <v>54</v>
      </c>
      <c r="B18" s="24"/>
      <c r="C18" s="24"/>
      <c r="D18" s="24"/>
      <c r="E18" s="24"/>
      <c r="F18" s="24"/>
      <c r="G18" s="24"/>
      <c r="H18" s="24"/>
      <c r="I18" s="24"/>
      <c r="J18" s="85">
        <v>2</v>
      </c>
      <c r="K18" s="86"/>
      <c r="L18" s="86"/>
      <c r="M18" s="86"/>
      <c r="N18" s="86"/>
      <c r="O18" s="86"/>
      <c r="P18" s="86"/>
      <c r="Q18" s="86"/>
      <c r="R18" s="86"/>
      <c r="S18" s="24" t="s">
        <v>55</v>
      </c>
      <c r="T18" s="24"/>
      <c r="U18" s="24"/>
      <c r="V18" s="24"/>
      <c r="W18" s="24"/>
      <c r="X18" s="24"/>
      <c r="Y18" s="24"/>
      <c r="Z18" s="24"/>
      <c r="AA18" s="24"/>
      <c r="AB18" s="29">
        <v>141</v>
      </c>
      <c r="AC18" s="30"/>
      <c r="AD18" s="30"/>
      <c r="AE18" s="30"/>
      <c r="AF18" s="31"/>
      <c r="AG18" s="27" t="s">
        <v>56</v>
      </c>
      <c r="AH18" s="28"/>
      <c r="AI18" s="28"/>
    </row>
    <row r="19" spans="1:44" ht="14.45" customHeight="1" x14ac:dyDescent="0.25">
      <c r="A19" s="24" t="s">
        <v>57</v>
      </c>
      <c r="B19" s="24"/>
      <c r="C19" s="24"/>
      <c r="D19" s="24"/>
      <c r="E19" s="24"/>
      <c r="F19" s="24"/>
      <c r="G19" s="24"/>
      <c r="H19" s="24"/>
      <c r="I19" s="24"/>
      <c r="J19" s="29">
        <v>175</v>
      </c>
      <c r="K19" s="30"/>
      <c r="L19" s="30"/>
      <c r="M19" s="30"/>
      <c r="N19" s="31"/>
      <c r="O19" s="27" t="s">
        <v>56</v>
      </c>
      <c r="P19" s="28"/>
      <c r="Q19" s="28"/>
      <c r="R19" s="28"/>
      <c r="S19" s="24" t="s">
        <v>58</v>
      </c>
      <c r="T19" s="24"/>
      <c r="U19" s="24"/>
      <c r="V19" s="24"/>
      <c r="W19" s="24"/>
      <c r="X19" s="24"/>
      <c r="Y19" s="24"/>
      <c r="Z19" s="24"/>
      <c r="AA19" s="24"/>
      <c r="AB19" s="25">
        <f>59*2+J19</f>
        <v>293</v>
      </c>
      <c r="AC19" s="25"/>
      <c r="AD19" s="25"/>
      <c r="AE19" s="25"/>
      <c r="AF19" s="26"/>
      <c r="AG19" s="27" t="s">
        <v>56</v>
      </c>
      <c r="AH19" s="28"/>
      <c r="AI19" s="28"/>
    </row>
    <row r="20" spans="1:44" ht="14.45" customHeight="1" x14ac:dyDescent="0.25">
      <c r="A20" s="24" t="s">
        <v>59</v>
      </c>
      <c r="B20" s="24"/>
      <c r="C20" s="24"/>
      <c r="D20" s="24"/>
      <c r="E20" s="24"/>
      <c r="F20" s="24"/>
      <c r="G20" s="24"/>
      <c r="H20" s="24"/>
      <c r="I20" s="24"/>
      <c r="J20" s="29">
        <v>0</v>
      </c>
      <c r="K20" s="30"/>
      <c r="L20" s="30"/>
      <c r="M20" s="30"/>
      <c r="N20" s="31"/>
      <c r="O20" s="27" t="s">
        <v>56</v>
      </c>
      <c r="P20" s="28"/>
      <c r="Q20" s="28"/>
      <c r="R20" s="28"/>
      <c r="S20" s="24" t="s">
        <v>62</v>
      </c>
      <c r="T20" s="24"/>
      <c r="U20" s="24"/>
      <c r="V20" s="24"/>
      <c r="W20" s="24"/>
      <c r="X20" s="24"/>
      <c r="Y20" s="24"/>
      <c r="Z20" s="24"/>
      <c r="AA20" s="24"/>
      <c r="AB20" s="29">
        <v>19.5</v>
      </c>
      <c r="AC20" s="29"/>
      <c r="AD20" s="29"/>
      <c r="AE20" s="29"/>
      <c r="AF20" s="87"/>
      <c r="AG20" s="27" t="s">
        <v>56</v>
      </c>
      <c r="AH20" s="28"/>
      <c r="AI20" s="28"/>
    </row>
    <row r="21" spans="1:44" ht="14.45" customHeight="1" x14ac:dyDescent="0.25">
      <c r="A21" s="24" t="s">
        <v>60</v>
      </c>
      <c r="B21" s="24"/>
      <c r="C21" s="24"/>
      <c r="D21" s="24"/>
      <c r="E21" s="24"/>
      <c r="F21" s="24"/>
      <c r="G21" s="24"/>
      <c r="H21" s="24"/>
      <c r="I21" s="24"/>
      <c r="J21" s="85">
        <v>0</v>
      </c>
      <c r="K21" s="86"/>
      <c r="L21" s="86"/>
      <c r="M21" s="86"/>
      <c r="N21" s="86"/>
      <c r="O21" s="86"/>
      <c r="P21" s="86"/>
      <c r="Q21" s="86"/>
      <c r="R21" s="86"/>
      <c r="S21" s="24" t="s">
        <v>63</v>
      </c>
      <c r="T21" s="24"/>
      <c r="U21" s="24"/>
      <c r="V21" s="24"/>
      <c r="W21" s="24"/>
      <c r="X21" s="24"/>
      <c r="Y21" s="24"/>
      <c r="Z21" s="24"/>
      <c r="AA21" s="24"/>
      <c r="AB21" s="29">
        <v>30</v>
      </c>
      <c r="AC21" s="29"/>
      <c r="AD21" s="29"/>
      <c r="AE21" s="29"/>
      <c r="AF21" s="87"/>
      <c r="AG21" s="27" t="s">
        <v>56</v>
      </c>
      <c r="AH21" s="28"/>
      <c r="AI21" s="28"/>
    </row>
    <row r="22" spans="1:44" ht="14.45" customHeight="1" x14ac:dyDescent="0.25">
      <c r="A22" s="24" t="s">
        <v>61</v>
      </c>
      <c r="B22" s="24"/>
      <c r="C22" s="24"/>
      <c r="D22" s="24"/>
      <c r="E22" s="24"/>
      <c r="F22" s="24"/>
      <c r="G22" s="24"/>
      <c r="H22" s="24"/>
      <c r="I22" s="24"/>
      <c r="J22" s="29">
        <v>0</v>
      </c>
      <c r="K22" s="30"/>
      <c r="L22" s="30"/>
      <c r="M22" s="30"/>
      <c r="N22" s="31"/>
      <c r="O22" s="27" t="s">
        <v>56</v>
      </c>
      <c r="P22" s="28"/>
      <c r="Q22" s="28"/>
      <c r="R22" s="28"/>
      <c r="S22" s="24" t="s">
        <v>64</v>
      </c>
      <c r="T22" s="24"/>
      <c r="U22" s="24"/>
      <c r="V22" s="24"/>
      <c r="W22" s="24"/>
      <c r="X22" s="24"/>
      <c r="Y22" s="24"/>
      <c r="Z22" s="24"/>
      <c r="AA22" s="24"/>
      <c r="AB22" s="30">
        <f>AB20+AB21</f>
        <v>49.5</v>
      </c>
      <c r="AC22" s="29"/>
      <c r="AD22" s="29"/>
      <c r="AE22" s="29"/>
      <c r="AF22" s="87"/>
      <c r="AG22" s="27" t="s">
        <v>56</v>
      </c>
      <c r="AH22" s="28"/>
      <c r="AI22" s="28"/>
    </row>
    <row r="23" spans="1:44" ht="14.45" customHeight="1" x14ac:dyDescent="0.25">
      <c r="A23" s="24" t="s">
        <v>65</v>
      </c>
      <c r="B23" s="24"/>
      <c r="C23" s="24"/>
      <c r="D23" s="24"/>
      <c r="E23" s="24"/>
      <c r="F23" s="24"/>
      <c r="G23" s="24"/>
      <c r="H23" s="24"/>
      <c r="I23" s="24"/>
      <c r="J23" s="85">
        <v>22</v>
      </c>
      <c r="K23" s="86"/>
      <c r="L23" s="86"/>
      <c r="M23" s="86"/>
      <c r="N23" s="86"/>
      <c r="O23" s="86"/>
      <c r="P23" s="86"/>
      <c r="Q23" s="86"/>
      <c r="R23" s="86"/>
      <c r="S23" s="24" t="s">
        <v>66</v>
      </c>
      <c r="T23" s="24"/>
      <c r="U23" s="24"/>
      <c r="V23" s="24"/>
      <c r="W23" s="24"/>
      <c r="X23" s="24"/>
      <c r="Y23" s="24"/>
      <c r="Z23" s="24"/>
      <c r="AA23" s="24"/>
      <c r="AB23" s="86">
        <f>AB17/3/J17</f>
        <v>9</v>
      </c>
      <c r="AC23" s="85"/>
      <c r="AD23" s="85"/>
      <c r="AE23" s="85"/>
      <c r="AF23" s="85"/>
      <c r="AG23" s="85"/>
      <c r="AH23" s="85"/>
      <c r="AI23" s="85"/>
    </row>
    <row r="24" spans="1:44" ht="14.45" customHeight="1" x14ac:dyDescent="0.25">
      <c r="A24" s="24" t="s">
        <v>67</v>
      </c>
      <c r="B24" s="24"/>
      <c r="C24" s="24"/>
      <c r="D24" s="24"/>
      <c r="E24" s="24"/>
      <c r="F24" s="24"/>
      <c r="G24" s="24"/>
      <c r="H24" s="24"/>
      <c r="I24" s="24"/>
      <c r="J24" s="86">
        <f>AB17/J17</f>
        <v>27</v>
      </c>
      <c r="K24" s="85"/>
      <c r="L24" s="85"/>
      <c r="M24" s="85"/>
      <c r="N24" s="85"/>
      <c r="O24" s="85"/>
      <c r="P24" s="85"/>
      <c r="Q24" s="85"/>
      <c r="R24" s="85"/>
      <c r="S24" s="24" t="s">
        <v>68</v>
      </c>
      <c r="T24" s="24"/>
      <c r="U24" s="24"/>
      <c r="V24" s="24"/>
      <c r="W24" s="24"/>
      <c r="X24" s="24"/>
      <c r="Y24" s="24"/>
      <c r="Z24" s="24"/>
      <c r="AA24" s="24"/>
      <c r="AB24" s="92">
        <f>J23/J24</f>
        <v>0.81481481481481477</v>
      </c>
      <c r="AC24" s="92"/>
      <c r="AD24" s="92"/>
      <c r="AE24" s="92"/>
      <c r="AF24" s="92"/>
      <c r="AG24" s="92"/>
      <c r="AH24" s="92"/>
      <c r="AI24" s="92"/>
    </row>
    <row r="25" spans="1:44" ht="14.45" customHeight="1" x14ac:dyDescent="0.25">
      <c r="A25" s="24" t="s">
        <v>69</v>
      </c>
      <c r="B25" s="24"/>
      <c r="C25" s="24"/>
      <c r="D25" s="24"/>
      <c r="E25" s="24"/>
      <c r="F25" s="24"/>
      <c r="G25" s="24"/>
      <c r="H25" s="24"/>
      <c r="I25" s="24"/>
      <c r="J25" s="92">
        <f>SIN(AB23*(2*PI()/54)/2)/(AB23*SIN(2*PI()/54/2))</f>
        <v>0.95546855320690827</v>
      </c>
      <c r="K25" s="92"/>
      <c r="L25" s="92"/>
      <c r="M25" s="92"/>
      <c r="N25" s="92"/>
      <c r="O25" s="92"/>
      <c r="P25" s="92"/>
      <c r="Q25" s="92"/>
      <c r="R25" s="92"/>
      <c r="S25" s="24" t="s">
        <v>70</v>
      </c>
      <c r="T25" s="24"/>
      <c r="U25" s="24"/>
      <c r="V25" s="24"/>
      <c r="W25" s="24"/>
      <c r="X25" s="24"/>
      <c r="Y25" s="24"/>
      <c r="Z25" s="24"/>
      <c r="AA25" s="24"/>
      <c r="AB25" s="92">
        <f>SIN(AB24*PI()/2)</f>
        <v>0.9579895123154889</v>
      </c>
      <c r="AC25" s="92"/>
      <c r="AD25" s="92"/>
      <c r="AE25" s="92"/>
      <c r="AF25" s="92"/>
      <c r="AG25" s="92"/>
      <c r="AH25" s="92"/>
      <c r="AI25" s="92"/>
    </row>
    <row r="26" spans="1:44" ht="14.45" customHeight="1" x14ac:dyDescent="0.25">
      <c r="A26" s="24" t="s">
        <v>71</v>
      </c>
      <c r="B26" s="24"/>
      <c r="C26" s="24"/>
      <c r="D26" s="24"/>
      <c r="E26" s="24"/>
      <c r="F26" s="24"/>
      <c r="G26" s="24"/>
      <c r="H26" s="24"/>
      <c r="I26" s="24"/>
      <c r="J26" s="92">
        <f>J25*AB25</f>
        <v>0.91532885331947178</v>
      </c>
      <c r="K26" s="92"/>
      <c r="L26" s="92"/>
      <c r="M26" s="92"/>
      <c r="N26" s="92"/>
      <c r="O26" s="92"/>
      <c r="P26" s="92"/>
      <c r="Q26" s="92"/>
      <c r="R26" s="92"/>
      <c r="S26" s="93" t="s">
        <v>79</v>
      </c>
      <c r="T26" s="93"/>
      <c r="U26" s="93"/>
      <c r="V26" s="93"/>
      <c r="W26" s="93"/>
      <c r="X26" s="93"/>
      <c r="Y26" s="93"/>
      <c r="Z26" s="93"/>
      <c r="AA26" s="93"/>
      <c r="AB26" s="94">
        <v>1</v>
      </c>
      <c r="AC26" s="94"/>
      <c r="AD26" s="94"/>
      <c r="AE26" s="94"/>
      <c r="AF26" s="94"/>
      <c r="AG26" s="94"/>
      <c r="AH26" s="94"/>
      <c r="AI26" s="94"/>
    </row>
    <row r="27" spans="1:44" ht="14.45" customHeight="1" x14ac:dyDescent="0.25">
      <c r="A27" s="24" t="s">
        <v>80</v>
      </c>
      <c r="B27" s="24"/>
      <c r="C27" s="24"/>
      <c r="D27" s="24"/>
      <c r="E27" s="24"/>
      <c r="F27" s="24"/>
      <c r="G27" s="24"/>
      <c r="H27" s="24"/>
      <c r="I27" s="24"/>
      <c r="J27" s="94">
        <v>1</v>
      </c>
      <c r="K27" s="94"/>
      <c r="L27" s="94"/>
      <c r="M27" s="94"/>
      <c r="N27" s="94"/>
      <c r="O27" s="94"/>
      <c r="P27" s="94"/>
      <c r="Q27" s="94"/>
      <c r="R27" s="94"/>
      <c r="S27" s="24" t="s">
        <v>81</v>
      </c>
      <c r="T27" s="24"/>
      <c r="U27" s="24"/>
      <c r="V27" s="24"/>
      <c r="W27" s="24"/>
      <c r="X27" s="24"/>
      <c r="Y27" s="24"/>
      <c r="Z27" s="24"/>
      <c r="AA27" s="24"/>
      <c r="AB27" s="94">
        <f>AB17*J18*J27/(3*2*AB26)</f>
        <v>18</v>
      </c>
      <c r="AC27" s="94"/>
      <c r="AD27" s="94"/>
      <c r="AE27" s="94"/>
      <c r="AF27" s="94"/>
      <c r="AG27" s="94"/>
      <c r="AH27" s="94"/>
      <c r="AI27" s="94"/>
      <c r="AM27">
        <f>860+2*460</f>
        <v>1780</v>
      </c>
      <c r="AR27">
        <f>360/54</f>
        <v>6.666666666666667</v>
      </c>
    </row>
    <row r="28" spans="1:44" ht="14.45" customHeight="1" x14ac:dyDescent="0.25">
      <c r="A28" s="24" t="s">
        <v>108</v>
      </c>
      <c r="B28" s="24"/>
      <c r="C28" s="24"/>
      <c r="D28" s="24"/>
      <c r="E28" s="24"/>
      <c r="F28" s="24"/>
      <c r="G28" s="24"/>
      <c r="H28" s="24"/>
      <c r="I28" s="24"/>
      <c r="J28" s="29">
        <v>787</v>
      </c>
      <c r="K28" s="30"/>
      <c r="L28" s="30"/>
      <c r="M28" s="30"/>
      <c r="N28" s="31"/>
      <c r="O28" s="27" t="s">
        <v>56</v>
      </c>
      <c r="P28" s="28"/>
      <c r="Q28" s="28"/>
      <c r="R28" s="28"/>
    </row>
    <row r="29" spans="1:44" ht="14.45" customHeight="1" x14ac:dyDescent="0.25">
      <c r="AR29">
        <f>120/AR27</f>
        <v>18</v>
      </c>
    </row>
    <row r="30" spans="1:44" ht="14.45" customHeight="1" x14ac:dyDescent="0.25">
      <c r="A30" s="97" t="s">
        <v>82</v>
      </c>
      <c r="B30" s="97"/>
      <c r="C30" s="97"/>
      <c r="D30" s="97"/>
      <c r="E30" s="97"/>
      <c r="F30" s="97"/>
      <c r="G30" s="97"/>
      <c r="H30" s="97"/>
      <c r="I30" s="97"/>
      <c r="J30" s="97"/>
      <c r="K30" s="97"/>
      <c r="L30" s="97"/>
      <c r="M30" s="97"/>
      <c r="N30" s="97"/>
      <c r="O30" s="97"/>
      <c r="P30" s="97"/>
      <c r="Q30" s="97"/>
      <c r="R30" s="97"/>
      <c r="S30" s="97"/>
      <c r="T30" s="97"/>
      <c r="U30" s="97"/>
      <c r="V30" s="97"/>
      <c r="W30" s="97"/>
      <c r="X30" s="97"/>
      <c r="Y30" s="97"/>
      <c r="Z30" s="97"/>
      <c r="AA30" s="97"/>
      <c r="AB30" s="97"/>
      <c r="AC30" s="97"/>
      <c r="AD30" s="97"/>
      <c r="AE30" s="97"/>
      <c r="AF30" s="97"/>
      <c r="AG30" s="97"/>
      <c r="AH30" s="97"/>
      <c r="AI30" s="97"/>
    </row>
    <row r="31" spans="1:44" ht="14.45" customHeight="1" x14ac:dyDescent="0.25">
      <c r="A31" s="89" t="s">
        <v>103</v>
      </c>
      <c r="B31" s="90"/>
      <c r="C31" s="90"/>
      <c r="D31" s="90"/>
      <c r="E31" s="90"/>
      <c r="F31" s="90"/>
      <c r="G31" s="90"/>
      <c r="H31" s="90"/>
      <c r="I31" s="90"/>
      <c r="J31" s="90"/>
      <c r="K31" s="90"/>
      <c r="L31" s="90"/>
      <c r="M31" s="90"/>
      <c r="N31" s="90"/>
      <c r="O31" s="90"/>
      <c r="P31" s="90"/>
      <c r="Q31" s="90"/>
      <c r="R31" s="90"/>
      <c r="S31" s="90"/>
      <c r="T31" s="90"/>
      <c r="U31" s="90"/>
      <c r="V31" s="90"/>
      <c r="W31" s="90"/>
      <c r="X31" s="90"/>
      <c r="Y31" s="90"/>
      <c r="Z31" s="90"/>
      <c r="AA31" s="90"/>
      <c r="AB31" s="90"/>
      <c r="AC31" s="90"/>
      <c r="AD31" s="90"/>
      <c r="AE31" s="90"/>
      <c r="AF31" s="90"/>
      <c r="AG31" s="90"/>
      <c r="AH31" s="90"/>
      <c r="AI31" s="91"/>
    </row>
    <row r="32" spans="1:44" ht="14.45" customHeight="1" x14ac:dyDescent="0.25">
      <c r="A32" s="22" t="s">
        <v>83</v>
      </c>
      <c r="B32" s="23"/>
      <c r="C32" s="23"/>
      <c r="D32" s="23"/>
      <c r="E32" s="23"/>
      <c r="F32" s="23"/>
      <c r="G32" s="23"/>
      <c r="H32" s="23"/>
      <c r="I32" s="11"/>
      <c r="AI32" s="12"/>
    </row>
    <row r="33" spans="1:40" ht="14.45" customHeight="1" x14ac:dyDescent="0.25">
      <c r="A33" s="13"/>
      <c r="AI33" s="12"/>
    </row>
    <row r="34" spans="1:40" ht="14.45" customHeight="1" x14ac:dyDescent="0.25">
      <c r="A34" s="13"/>
      <c r="AI34" s="12"/>
    </row>
    <row r="35" spans="1:40" ht="14.45" customHeight="1" x14ac:dyDescent="0.25">
      <c r="A35" s="13"/>
      <c r="AI35" s="12"/>
      <c r="AK35" s="17">
        <f>AB14*1000/SQRT(3)/4.44*0.04/J26/1/50</f>
        <v>1.3069743887703877</v>
      </c>
    </row>
    <row r="36" spans="1:40" ht="14.45" customHeight="1" x14ac:dyDescent="0.25">
      <c r="A36" s="13"/>
      <c r="AI36" s="12"/>
    </row>
    <row r="37" spans="1:40" ht="14.45" customHeight="1" x14ac:dyDescent="0.25">
      <c r="A37" s="13"/>
      <c r="L37" s="88" t="s">
        <v>84</v>
      </c>
      <c r="M37" s="88"/>
      <c r="N37" s="88"/>
      <c r="O37" s="88"/>
      <c r="P37" s="88"/>
      <c r="Q37" s="88"/>
      <c r="R37" s="88"/>
      <c r="AI37" s="12"/>
    </row>
    <row r="38" spans="1:40" ht="14.45" customHeight="1" x14ac:dyDescent="0.25">
      <c r="A38" s="13"/>
      <c r="AI38" s="12"/>
    </row>
    <row r="39" spans="1:40" ht="14.45" customHeight="1" x14ac:dyDescent="0.25">
      <c r="A39" s="13"/>
      <c r="AI39" s="12"/>
    </row>
    <row r="40" spans="1:40" ht="14.45" customHeight="1" x14ac:dyDescent="0.25">
      <c r="A40" s="13"/>
      <c r="AI40" s="12"/>
    </row>
    <row r="41" spans="1:40" ht="14.45" customHeight="1" x14ac:dyDescent="0.25">
      <c r="A41" s="24" t="s">
        <v>85</v>
      </c>
      <c r="B41" s="24"/>
      <c r="C41" s="24"/>
      <c r="D41" s="24"/>
      <c r="E41" s="24"/>
      <c r="F41" s="24"/>
      <c r="G41" s="24"/>
      <c r="H41" s="24"/>
      <c r="I41" s="24"/>
      <c r="J41" s="46">
        <f>0.04*PI()*AB14*1000/(4.44*J26*AB27*SQRT(3)*SQRT(2))</f>
        <v>8.0649086284415485</v>
      </c>
      <c r="K41" s="46"/>
      <c r="L41" s="46"/>
      <c r="M41" s="46"/>
      <c r="N41" s="47"/>
      <c r="O41" s="27" t="s">
        <v>6</v>
      </c>
      <c r="P41" s="28"/>
      <c r="Q41" s="28"/>
      <c r="R41" s="28"/>
      <c r="AI41" s="12"/>
    </row>
    <row r="42" spans="1:40" ht="14.45" customHeight="1" x14ac:dyDescent="0.25">
      <c r="A42" s="14"/>
      <c r="B42" s="15"/>
      <c r="C42" s="15"/>
      <c r="D42" s="15"/>
      <c r="E42" s="15"/>
      <c r="F42" s="15"/>
      <c r="G42" s="15"/>
      <c r="H42" s="15"/>
      <c r="I42" s="15"/>
      <c r="AI42" s="12"/>
    </row>
    <row r="43" spans="1:40" ht="14.45" customHeight="1" x14ac:dyDescent="0.25">
      <c r="A43" s="89" t="s">
        <v>104</v>
      </c>
      <c r="B43" s="90"/>
      <c r="C43" s="90"/>
      <c r="D43" s="90"/>
      <c r="E43" s="90"/>
      <c r="F43" s="90"/>
      <c r="G43" s="90"/>
      <c r="H43" s="90"/>
      <c r="I43" s="90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90"/>
      <c r="X43" s="90"/>
      <c r="Y43" s="90"/>
      <c r="Z43" s="90"/>
      <c r="AA43" s="90"/>
      <c r="AB43" s="90"/>
      <c r="AC43" s="90"/>
      <c r="AD43" s="90"/>
      <c r="AE43" s="90"/>
      <c r="AF43" s="90"/>
      <c r="AG43" s="90"/>
      <c r="AH43" s="90"/>
      <c r="AI43" s="91"/>
    </row>
    <row r="44" spans="1:40" ht="14.45" customHeight="1" x14ac:dyDescent="0.25">
      <c r="A44" s="22" t="s">
        <v>83</v>
      </c>
      <c r="B44" s="23"/>
      <c r="C44" s="23"/>
      <c r="D44" s="23"/>
      <c r="E44" s="23"/>
      <c r="F44" s="23"/>
      <c r="G44" s="23"/>
      <c r="H44" s="23"/>
      <c r="I44" s="15"/>
      <c r="AI44" s="12"/>
    </row>
    <row r="45" spans="1:40" ht="14.45" customHeight="1" x14ac:dyDescent="0.25">
      <c r="A45" s="24" t="s">
        <v>105</v>
      </c>
      <c r="B45" s="24"/>
      <c r="C45" s="24"/>
      <c r="D45" s="24"/>
      <c r="E45" s="24"/>
      <c r="F45" s="24"/>
      <c r="G45" s="24"/>
      <c r="H45" s="24"/>
      <c r="I45" s="24"/>
      <c r="J45" s="95">
        <v>1</v>
      </c>
      <c r="K45" s="95"/>
      <c r="L45" s="95"/>
      <c r="M45" s="95"/>
      <c r="N45" s="96"/>
      <c r="O45" s="27" t="s">
        <v>106</v>
      </c>
      <c r="P45" s="28"/>
      <c r="Q45" s="28"/>
      <c r="R45" s="28"/>
      <c r="AI45" s="12"/>
      <c r="AN45">
        <f>0.045/0.1</f>
        <v>0.44999999999999996</v>
      </c>
    </row>
    <row r="46" spans="1:40" ht="14.45" customHeight="1" x14ac:dyDescent="0.25">
      <c r="A46" s="14"/>
      <c r="B46" s="15"/>
      <c r="C46" s="15"/>
      <c r="D46" s="15"/>
      <c r="E46" s="15"/>
      <c r="G46" s="15"/>
      <c r="H46" s="15"/>
      <c r="AI46" s="12"/>
      <c r="AM46">
        <f>4.44*50*0.04*(293-175)/1000/2*141/1000</f>
        <v>7.3872720000000003E-2</v>
      </c>
    </row>
    <row r="47" spans="1:40" ht="14.45" customHeight="1" x14ac:dyDescent="0.25">
      <c r="A47" s="14"/>
      <c r="B47" s="15"/>
      <c r="C47" s="15"/>
      <c r="D47" s="15"/>
      <c r="E47" s="15"/>
      <c r="F47" s="15"/>
      <c r="G47" s="15"/>
      <c r="H47" s="15"/>
      <c r="I47" s="15"/>
      <c r="AI47" s="12"/>
    </row>
    <row r="48" spans="1:40" ht="14.45" customHeight="1" x14ac:dyDescent="0.25">
      <c r="A48" s="14"/>
      <c r="B48" s="15"/>
      <c r="C48" s="15"/>
      <c r="D48" s="15"/>
      <c r="E48" s="15"/>
      <c r="F48" s="15"/>
      <c r="G48" s="15"/>
      <c r="H48" s="15"/>
      <c r="I48" s="15"/>
      <c r="AI48" s="12"/>
      <c r="AN48">
        <f>220/0.35</f>
        <v>628.57142857142856</v>
      </c>
    </row>
    <row r="49" spans="1:40" ht="14.45" customHeight="1" x14ac:dyDescent="0.25">
      <c r="A49" s="14"/>
      <c r="B49" s="15"/>
      <c r="C49" s="15"/>
      <c r="D49" s="15"/>
      <c r="E49" s="15"/>
      <c r="F49" s="15"/>
      <c r="G49" s="15"/>
      <c r="H49" s="15"/>
      <c r="I49" s="15"/>
      <c r="AI49" s="12"/>
      <c r="AN49">
        <f>0.45*0.1</f>
        <v>4.5000000000000005E-2</v>
      </c>
    </row>
    <row r="50" spans="1:40" ht="14.25" customHeight="1" x14ac:dyDescent="0.25">
      <c r="A50" s="24" t="s">
        <v>85</v>
      </c>
      <c r="B50" s="24"/>
      <c r="C50" s="24"/>
      <c r="D50" s="24"/>
      <c r="E50" s="24"/>
      <c r="F50" s="24"/>
      <c r="G50" s="24"/>
      <c r="H50" s="24"/>
      <c r="I50" s="24"/>
      <c r="J50" s="46">
        <f>4.44*J16*0.04*J45*(AB19-(J19+J20))/1000/2*(AB18-J21*J22)/1000</f>
        <v>7.3872720000000003E-2</v>
      </c>
      <c r="K50" s="46"/>
      <c r="L50" s="46"/>
      <c r="M50" s="46"/>
      <c r="N50" s="47"/>
      <c r="O50" s="27" t="s">
        <v>6</v>
      </c>
      <c r="P50" s="28"/>
      <c r="Q50" s="28"/>
      <c r="R50" s="28"/>
      <c r="AI50" s="12"/>
    </row>
    <row r="51" spans="1:40" ht="14.25" customHeight="1" x14ac:dyDescent="0.25">
      <c r="A51" s="14"/>
      <c r="B51" s="15"/>
      <c r="C51" s="15"/>
      <c r="D51" s="15"/>
      <c r="E51" s="15"/>
      <c r="F51" s="15"/>
      <c r="G51" s="15"/>
      <c r="H51" s="15"/>
      <c r="I51" s="15"/>
      <c r="AI51" s="12"/>
    </row>
    <row r="52" spans="1:40" ht="14.25" customHeight="1" x14ac:dyDescent="0.25">
      <c r="A52" s="14"/>
      <c r="B52" s="15"/>
      <c r="C52" s="15"/>
      <c r="D52" s="15"/>
      <c r="E52" s="15"/>
      <c r="F52" s="15"/>
      <c r="G52" s="15"/>
      <c r="H52" s="15"/>
      <c r="I52" s="15"/>
      <c r="AI52" s="12"/>
    </row>
    <row r="53" spans="1:40" ht="14.25" customHeight="1" x14ac:dyDescent="0.25">
      <c r="A53" s="89" t="s">
        <v>107</v>
      </c>
      <c r="B53" s="90"/>
      <c r="C53" s="90"/>
      <c r="D53" s="90"/>
      <c r="E53" s="90"/>
      <c r="F53" s="90"/>
      <c r="G53" s="90"/>
      <c r="H53" s="90"/>
      <c r="I53" s="90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90"/>
      <c r="Y53" s="90"/>
      <c r="Z53" s="90"/>
      <c r="AA53" s="90"/>
      <c r="AB53" s="90"/>
      <c r="AC53" s="90"/>
      <c r="AD53" s="90"/>
      <c r="AE53" s="90"/>
      <c r="AF53" s="90"/>
      <c r="AG53" s="90"/>
      <c r="AH53" s="90"/>
      <c r="AI53" s="91"/>
    </row>
    <row r="54" spans="1:40" ht="14.25" customHeight="1" x14ac:dyDescent="0.25">
      <c r="A54" s="22" t="s">
        <v>83</v>
      </c>
      <c r="B54" s="23"/>
      <c r="C54" s="23"/>
      <c r="D54" s="23"/>
      <c r="E54" s="23"/>
      <c r="F54" s="23"/>
      <c r="G54" s="23"/>
      <c r="H54" s="23"/>
      <c r="I54" s="15"/>
      <c r="AI54" s="12"/>
    </row>
    <row r="55" spans="1:40" ht="14.25" customHeight="1" x14ac:dyDescent="0.25">
      <c r="A55" s="24" t="s">
        <v>105</v>
      </c>
      <c r="B55" s="24"/>
      <c r="C55" s="24"/>
      <c r="D55" s="24"/>
      <c r="E55" s="24"/>
      <c r="F55" s="24"/>
      <c r="G55" s="24"/>
      <c r="H55" s="24"/>
      <c r="I55" s="24"/>
      <c r="J55" s="95">
        <v>1.1000000000000001</v>
      </c>
      <c r="K55" s="95"/>
      <c r="L55" s="95"/>
      <c r="M55" s="95"/>
      <c r="N55" s="96"/>
      <c r="O55" s="27" t="s">
        <v>106</v>
      </c>
      <c r="P55" s="28"/>
      <c r="Q55" s="28"/>
      <c r="R55" s="28"/>
      <c r="AI55" s="12"/>
    </row>
    <row r="56" spans="1:40" ht="14.25" customHeight="1" x14ac:dyDescent="0.25">
      <c r="A56" s="14"/>
      <c r="B56" s="15"/>
      <c r="C56" s="15"/>
      <c r="D56" s="15"/>
      <c r="E56" s="15"/>
      <c r="G56" s="15"/>
      <c r="H56" s="15"/>
      <c r="AI56" s="12"/>
    </row>
    <row r="57" spans="1:40" ht="14.25" customHeight="1" x14ac:dyDescent="0.25">
      <c r="A57" s="14"/>
      <c r="B57" s="15"/>
      <c r="C57" s="15"/>
      <c r="D57" s="15"/>
      <c r="E57" s="15"/>
      <c r="F57" s="15"/>
      <c r="G57" s="15"/>
      <c r="H57" s="15"/>
      <c r="I57" s="15"/>
      <c r="AI57" s="12"/>
    </row>
    <row r="58" spans="1:40" ht="14.25" customHeight="1" x14ac:dyDescent="0.25">
      <c r="A58" s="14"/>
      <c r="B58" s="15"/>
      <c r="C58" s="15"/>
      <c r="D58" s="15"/>
      <c r="E58" s="15"/>
      <c r="F58" s="15"/>
      <c r="G58" s="15"/>
      <c r="H58" s="15"/>
      <c r="I58" s="15"/>
      <c r="AI58" s="12"/>
    </row>
    <row r="59" spans="1:40" ht="14.45" customHeight="1" x14ac:dyDescent="0.25">
      <c r="A59" s="14"/>
      <c r="B59" s="15"/>
      <c r="C59" s="15"/>
      <c r="D59" s="15"/>
      <c r="E59" s="15"/>
      <c r="F59" s="15"/>
      <c r="G59" s="15"/>
      <c r="H59" s="15"/>
      <c r="I59" s="15"/>
      <c r="AI59" s="12"/>
    </row>
    <row r="60" spans="1:40" ht="14.45" customHeight="1" x14ac:dyDescent="0.25">
      <c r="A60" s="24" t="s">
        <v>85</v>
      </c>
      <c r="B60" s="24"/>
      <c r="C60" s="24"/>
      <c r="D60" s="24"/>
      <c r="E60" s="24"/>
      <c r="F60" s="24"/>
      <c r="G60" s="24"/>
      <c r="H60" s="24"/>
      <c r="I60" s="24"/>
      <c r="J60" s="47">
        <f>4.44*J16*0.04*J55*0.25*PI()*J28/1000*AB18/1000/2</f>
        <v>0.42565660974088726</v>
      </c>
      <c r="K60" s="57"/>
      <c r="L60" s="57"/>
      <c r="M60" s="57"/>
      <c r="N60" s="57"/>
      <c r="O60" s="58" t="s">
        <v>6</v>
      </c>
      <c r="P60" s="58"/>
      <c r="Q60" s="58"/>
      <c r="R60" s="27"/>
      <c r="AI60" s="12"/>
    </row>
    <row r="61" spans="1:40" ht="14.45" customHeight="1" x14ac:dyDescent="0.25">
      <c r="A61" s="14"/>
      <c r="B61" s="15"/>
      <c r="C61" s="15"/>
      <c r="D61" s="15"/>
      <c r="E61" s="15"/>
      <c r="F61" s="15"/>
      <c r="G61" s="15"/>
      <c r="H61" s="15"/>
      <c r="I61" s="15"/>
      <c r="AI61" s="12"/>
    </row>
    <row r="62" spans="1:40" ht="14.45" customHeight="1" x14ac:dyDescent="0.25">
      <c r="A62" s="22" t="s">
        <v>86</v>
      </c>
      <c r="B62" s="23"/>
      <c r="C62" s="23"/>
      <c r="D62" s="23"/>
      <c r="E62" s="23"/>
      <c r="F62" s="23"/>
      <c r="G62" s="23"/>
      <c r="H62" s="23"/>
      <c r="AI62" s="12"/>
    </row>
    <row r="63" spans="1:40" ht="14.45" customHeight="1" x14ac:dyDescent="0.25">
      <c r="A63" s="24" t="s">
        <v>90</v>
      </c>
      <c r="B63" s="24"/>
      <c r="C63" s="24"/>
      <c r="D63" s="24"/>
      <c r="E63" s="24"/>
      <c r="F63" s="24"/>
      <c r="G63" s="24"/>
      <c r="H63" s="24"/>
      <c r="I63" s="24"/>
      <c r="J63" s="25">
        <v>6</v>
      </c>
      <c r="K63" s="25"/>
      <c r="L63" s="25"/>
      <c r="M63" s="25"/>
      <c r="N63" s="26"/>
      <c r="O63" s="27" t="s">
        <v>87</v>
      </c>
      <c r="P63" s="28"/>
      <c r="Q63" s="28"/>
      <c r="R63" s="28"/>
      <c r="AI63" s="12"/>
    </row>
    <row r="64" spans="1:40" ht="14.45" customHeight="1" x14ac:dyDescent="0.25">
      <c r="A64" s="24" t="s">
        <v>89</v>
      </c>
      <c r="B64" s="24"/>
      <c r="C64" s="24"/>
      <c r="D64" s="24"/>
      <c r="E64" s="24"/>
      <c r="F64" s="24"/>
      <c r="G64" s="24"/>
      <c r="H64" s="24"/>
      <c r="I64" s="24"/>
      <c r="J64" s="29">
        <v>25</v>
      </c>
      <c r="K64" s="30"/>
      <c r="L64" s="30"/>
      <c r="M64" s="30"/>
      <c r="N64" s="31"/>
      <c r="O64" s="27" t="s">
        <v>38</v>
      </c>
      <c r="P64" s="28"/>
      <c r="Q64" s="28"/>
      <c r="R64" s="28"/>
      <c r="AI64" s="12"/>
    </row>
    <row r="65" spans="1:48" ht="14.45" customHeight="1" x14ac:dyDescent="0.25">
      <c r="A65" s="24" t="s">
        <v>88</v>
      </c>
      <c r="B65" s="24"/>
      <c r="C65" s="24"/>
      <c r="D65" s="24"/>
      <c r="E65" s="24"/>
      <c r="F65" s="24"/>
      <c r="G65" s="24"/>
      <c r="H65" s="24"/>
      <c r="I65" s="24"/>
      <c r="J65" s="29">
        <v>230</v>
      </c>
      <c r="K65" s="30"/>
      <c r="L65" s="30"/>
      <c r="M65" s="30"/>
      <c r="N65" s="31"/>
      <c r="O65" s="27" t="s">
        <v>6</v>
      </c>
      <c r="P65" s="28"/>
      <c r="Q65" s="28"/>
      <c r="R65" s="28"/>
      <c r="AI65" s="12"/>
    </row>
    <row r="66" spans="1:48" ht="14.45" customHeight="1" x14ac:dyDescent="0.25">
      <c r="A66" s="13"/>
      <c r="AI66" s="12"/>
    </row>
    <row r="67" spans="1:48" ht="14.45" customHeight="1" x14ac:dyDescent="0.25">
      <c r="A67" s="22" t="s">
        <v>91</v>
      </c>
      <c r="B67" s="23"/>
      <c r="C67" s="23"/>
      <c r="D67" s="23"/>
      <c r="E67" s="23"/>
      <c r="F67" s="23"/>
      <c r="G67" s="23"/>
      <c r="H67" s="23"/>
      <c r="S67" s="23" t="s">
        <v>98</v>
      </c>
      <c r="T67" s="23"/>
      <c r="U67" s="23"/>
      <c r="V67" s="23"/>
      <c r="W67" s="23"/>
      <c r="X67" s="23"/>
      <c r="Y67" s="23"/>
      <c r="Z67" s="23"/>
      <c r="AI67" s="12"/>
    </row>
    <row r="68" spans="1:48" ht="14.45" customHeight="1" x14ac:dyDescent="0.25">
      <c r="A68" s="45" t="s">
        <v>92</v>
      </c>
      <c r="B68" s="45"/>
      <c r="C68" s="45"/>
      <c r="D68" s="45"/>
      <c r="E68" s="45"/>
      <c r="F68" s="45"/>
      <c r="G68" s="45"/>
      <c r="H68" s="45"/>
      <c r="I68" s="45"/>
      <c r="J68" s="46">
        <f>J41*15*PI()*(AB19-J19-J20)/2/1000</f>
        <v>22.422942063601639</v>
      </c>
      <c r="K68" s="46"/>
      <c r="L68" s="46"/>
      <c r="M68" s="46"/>
      <c r="N68" s="47"/>
      <c r="O68" s="27" t="s">
        <v>93</v>
      </c>
      <c r="P68" s="28"/>
      <c r="Q68" s="28"/>
      <c r="R68" s="28"/>
      <c r="S68" s="24" t="s">
        <v>99</v>
      </c>
      <c r="T68" s="24"/>
      <c r="U68" s="24"/>
      <c r="V68" s="24"/>
      <c r="W68" s="24"/>
      <c r="X68" s="24"/>
      <c r="Y68" s="24"/>
      <c r="Z68" s="24"/>
      <c r="AA68" s="24"/>
      <c r="AB68" s="19">
        <v>5</v>
      </c>
      <c r="AC68" s="20"/>
      <c r="AD68" s="20"/>
      <c r="AE68" s="20"/>
      <c r="AF68" s="20"/>
      <c r="AG68" s="20"/>
      <c r="AH68" s="20"/>
      <c r="AI68" s="21"/>
    </row>
    <row r="69" spans="1:48" ht="14.45" customHeight="1" x14ac:dyDescent="0.25">
      <c r="A69" s="24" t="s">
        <v>94</v>
      </c>
      <c r="B69" s="24"/>
      <c r="C69" s="24"/>
      <c r="D69" s="24"/>
      <c r="E69" s="24"/>
      <c r="F69" s="24"/>
      <c r="G69" s="24"/>
      <c r="H69" s="24"/>
      <c r="I69" s="24"/>
      <c r="J69" s="46">
        <f>(PI()*(AB19/1000)^2/4*AB18/1000-PI()*(J19/1000)^2/4*AB18/1000)*7870*14/1000</f>
        <v>0.67381336738048847</v>
      </c>
      <c r="K69" s="46"/>
      <c r="L69" s="46"/>
      <c r="M69" s="46"/>
      <c r="N69" s="47"/>
      <c r="O69" s="27" t="s">
        <v>95</v>
      </c>
      <c r="P69" s="28"/>
      <c r="Q69" s="28"/>
      <c r="R69" s="28"/>
      <c r="S69" s="24" t="s">
        <v>100</v>
      </c>
      <c r="T69" s="24"/>
      <c r="U69" s="24"/>
      <c r="V69" s="24"/>
      <c r="W69" s="24"/>
      <c r="X69" s="24"/>
      <c r="Y69" s="24"/>
      <c r="Z69" s="24"/>
      <c r="AA69" s="24"/>
      <c r="AB69" s="47">
        <f>J41*AB68</f>
        <v>40.324543142207744</v>
      </c>
      <c r="AC69" s="57"/>
      <c r="AD69" s="57"/>
      <c r="AE69" s="57"/>
      <c r="AF69" s="57"/>
      <c r="AG69" s="58" t="s">
        <v>6</v>
      </c>
      <c r="AH69" s="58"/>
      <c r="AI69" s="27"/>
      <c r="AO69" t="s">
        <v>114</v>
      </c>
      <c r="AQ69">
        <f>AQ70*7.95</f>
        <v>4651.5647498443041</v>
      </c>
    </row>
    <row r="70" spans="1:48" ht="14.45" customHeight="1" x14ac:dyDescent="0.25">
      <c r="A70" s="24" t="s">
        <v>96</v>
      </c>
      <c r="B70" s="24"/>
      <c r="C70" s="24"/>
      <c r="D70" s="24"/>
      <c r="E70" s="24"/>
      <c r="F70" s="24"/>
      <c r="G70" s="24"/>
      <c r="H70" s="24"/>
      <c r="I70" s="24"/>
      <c r="J70" s="46">
        <f>SQRT(J68^2+J69^2)</f>
        <v>22.433063884402781</v>
      </c>
      <c r="K70" s="46"/>
      <c r="L70" s="46"/>
      <c r="M70" s="46"/>
      <c r="N70" s="47"/>
      <c r="O70" s="27" t="s">
        <v>97</v>
      </c>
      <c r="P70" s="28"/>
      <c r="Q70" s="28"/>
      <c r="R70" s="28"/>
      <c r="S70" s="24" t="s">
        <v>101</v>
      </c>
      <c r="T70" s="24"/>
      <c r="U70" s="24"/>
      <c r="V70" s="24"/>
      <c r="W70" s="24"/>
      <c r="X70" s="24"/>
      <c r="Y70" s="24"/>
      <c r="Z70" s="24"/>
      <c r="AA70" s="24"/>
      <c r="AB70" s="46">
        <f>J70/AB69</f>
        <v>0.55631290862467497</v>
      </c>
      <c r="AC70" s="46"/>
      <c r="AD70" s="46"/>
      <c r="AE70" s="46"/>
      <c r="AF70" s="47"/>
      <c r="AG70" s="27" t="s">
        <v>38</v>
      </c>
      <c r="AH70" s="28"/>
      <c r="AI70" s="28"/>
      <c r="AO70" t="s">
        <v>115</v>
      </c>
      <c r="AQ70">
        <f>AK35*AV73</f>
        <v>585.10248425714519</v>
      </c>
      <c r="AR70">
        <f>AQ70/5</f>
        <v>117.02049685142904</v>
      </c>
    </row>
    <row r="72" spans="1:48" ht="14.45" customHeight="1" x14ac:dyDescent="0.25">
      <c r="A72" s="48" t="s">
        <v>10</v>
      </c>
      <c r="B72" s="49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50"/>
    </row>
    <row r="73" spans="1:48" ht="14.45" customHeight="1" x14ac:dyDescent="0.25">
      <c r="A73" s="51"/>
      <c r="B73" s="52"/>
      <c r="C73" s="52"/>
      <c r="D73" s="52"/>
      <c r="E73" s="52"/>
      <c r="F73" s="52"/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  <c r="AA73" s="52"/>
      <c r="AB73" s="52"/>
      <c r="AC73" s="52"/>
      <c r="AD73" s="52"/>
      <c r="AE73" s="52"/>
      <c r="AF73" s="52"/>
      <c r="AG73" s="52"/>
      <c r="AH73" s="52"/>
      <c r="AI73" s="53"/>
      <c r="AQ73" t="s">
        <v>109</v>
      </c>
      <c r="AV73">
        <f>AV74/AV75/AV76/AV77</f>
        <v>447.67708478787745</v>
      </c>
    </row>
    <row r="74" spans="1:48" ht="14.45" customHeight="1" x14ac:dyDescent="0.25">
      <c r="A74" s="51"/>
      <c r="B74" s="52"/>
      <c r="C74" s="52"/>
      <c r="D74" s="52"/>
      <c r="E74" s="52"/>
      <c r="F74" s="52"/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  <c r="AA74" s="52"/>
      <c r="AB74" s="52"/>
      <c r="AC74" s="52"/>
      <c r="AD74" s="52"/>
      <c r="AE74" s="52"/>
      <c r="AF74" s="52"/>
      <c r="AG74" s="52"/>
      <c r="AH74" s="52"/>
      <c r="AI74" s="53"/>
      <c r="AQ74" t="s">
        <v>110</v>
      </c>
      <c r="AV74" s="16">
        <f>(AB19+J19+J20)/2/1000</f>
        <v>0.23400000000000001</v>
      </c>
    </row>
    <row r="75" spans="1:48" ht="14.45" customHeight="1" x14ac:dyDescent="0.25">
      <c r="A75" s="51"/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  <c r="AA75" s="52"/>
      <c r="AB75" s="52"/>
      <c r="AC75" s="52"/>
      <c r="AD75" s="52"/>
      <c r="AE75" s="52"/>
      <c r="AF75" s="52"/>
      <c r="AG75" s="52"/>
      <c r="AH75" s="52"/>
      <c r="AI75" s="53"/>
      <c r="AQ75" t="s">
        <v>111</v>
      </c>
      <c r="AV75" s="18">
        <f>(AB18-J20*J22)/1000*(AB19-J19-J20)/2/1000</f>
        <v>8.3189999999999983E-3</v>
      </c>
    </row>
    <row r="76" spans="1:48" ht="14.45" customHeight="1" x14ac:dyDescent="0.25">
      <c r="A76" s="51"/>
      <c r="B76" s="52"/>
      <c r="C76" s="52"/>
      <c r="D76" s="52"/>
      <c r="E76" s="52"/>
      <c r="F76" s="52"/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  <c r="AA76" s="52"/>
      <c r="AB76" s="52"/>
      <c r="AC76" s="52"/>
      <c r="AD76" s="52"/>
      <c r="AE76" s="52"/>
      <c r="AF76" s="52"/>
      <c r="AG76" s="52"/>
      <c r="AH76" s="52"/>
      <c r="AI76" s="53"/>
      <c r="AQ76" t="s">
        <v>112</v>
      </c>
      <c r="AV76">
        <f>4*PI()*0.000001</f>
        <v>1.2566370614359172E-5</v>
      </c>
    </row>
    <row r="77" spans="1:48" ht="14.45" customHeight="1" x14ac:dyDescent="0.25">
      <c r="A77" s="51"/>
      <c r="B77" s="52"/>
      <c r="C77" s="52"/>
      <c r="D77" s="52"/>
      <c r="E77" s="52"/>
      <c r="F77" s="52"/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  <c r="AA77" s="52"/>
      <c r="AB77" s="52"/>
      <c r="AC77" s="52"/>
      <c r="AD77" s="52"/>
      <c r="AE77" s="52"/>
      <c r="AF77" s="52"/>
      <c r="AG77" s="52"/>
      <c r="AH77" s="52"/>
      <c r="AI77" s="53"/>
      <c r="AQ77" t="s">
        <v>113</v>
      </c>
      <c r="AV77">
        <v>5000</v>
      </c>
    </row>
    <row r="78" spans="1:48" ht="14.45" customHeight="1" x14ac:dyDescent="0.25">
      <c r="A78" s="51"/>
      <c r="B78" s="52"/>
      <c r="C78" s="52"/>
      <c r="D78" s="52"/>
      <c r="E78" s="52"/>
      <c r="F78" s="52"/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  <c r="AA78" s="52"/>
      <c r="AB78" s="52"/>
      <c r="AC78" s="52"/>
      <c r="AD78" s="52"/>
      <c r="AE78" s="52"/>
      <c r="AF78" s="52"/>
      <c r="AG78" s="52"/>
      <c r="AH78" s="52"/>
      <c r="AI78" s="53"/>
    </row>
    <row r="79" spans="1:48" ht="14.45" customHeight="1" x14ac:dyDescent="0.25">
      <c r="A79" s="51"/>
      <c r="B79" s="52"/>
      <c r="C79" s="52"/>
      <c r="D79" s="52"/>
      <c r="E79" s="52"/>
      <c r="F79" s="52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  <c r="AA79" s="52"/>
      <c r="AB79" s="52"/>
      <c r="AC79" s="52"/>
      <c r="AD79" s="52"/>
      <c r="AE79" s="52"/>
      <c r="AF79" s="52"/>
      <c r="AG79" s="52"/>
      <c r="AH79" s="52"/>
      <c r="AI79" s="53"/>
    </row>
    <row r="80" spans="1:48" ht="14.45" customHeight="1" x14ac:dyDescent="0.25">
      <c r="A80" s="51"/>
      <c r="B80" s="52"/>
      <c r="C80" s="52"/>
      <c r="D80" s="52"/>
      <c r="E80" s="52"/>
      <c r="F80" s="52"/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  <c r="AA80" s="52"/>
      <c r="AB80" s="52"/>
      <c r="AC80" s="52"/>
      <c r="AD80" s="52"/>
      <c r="AE80" s="52"/>
      <c r="AF80" s="52"/>
      <c r="AG80" s="52"/>
      <c r="AH80" s="52"/>
      <c r="AI80" s="53"/>
    </row>
    <row r="81" spans="1:35" ht="14.45" customHeight="1" x14ac:dyDescent="0.25">
      <c r="A81" s="51"/>
      <c r="B81" s="52"/>
      <c r="C81" s="52"/>
      <c r="D81" s="52"/>
      <c r="E81" s="52"/>
      <c r="F81" s="52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3"/>
    </row>
    <row r="82" spans="1:35" ht="14.45" customHeight="1" x14ac:dyDescent="0.25">
      <c r="A82" s="51"/>
      <c r="B82" s="52"/>
      <c r="C82" s="52"/>
      <c r="D82" s="52"/>
      <c r="E82" s="52"/>
      <c r="F82" s="52"/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  <c r="AA82" s="52"/>
      <c r="AB82" s="52"/>
      <c r="AC82" s="52"/>
      <c r="AD82" s="52"/>
      <c r="AE82" s="52"/>
      <c r="AF82" s="52"/>
      <c r="AG82" s="52"/>
      <c r="AH82" s="52"/>
      <c r="AI82" s="53"/>
    </row>
    <row r="83" spans="1:35" ht="14.45" customHeight="1" x14ac:dyDescent="0.25">
      <c r="A83" s="51"/>
      <c r="B83" s="52"/>
      <c r="C83" s="52"/>
      <c r="D83" s="52"/>
      <c r="E83" s="52"/>
      <c r="F83" s="52"/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  <c r="AA83" s="52"/>
      <c r="AB83" s="52"/>
      <c r="AC83" s="52"/>
      <c r="AD83" s="52"/>
      <c r="AE83" s="52"/>
      <c r="AF83" s="52"/>
      <c r="AG83" s="52"/>
      <c r="AH83" s="52"/>
      <c r="AI83" s="53"/>
    </row>
    <row r="84" spans="1:35" ht="14.45" customHeight="1" x14ac:dyDescent="0.25">
      <c r="A84" s="51"/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  <c r="AA84" s="52"/>
      <c r="AB84" s="52"/>
      <c r="AC84" s="52"/>
      <c r="AD84" s="52"/>
      <c r="AE84" s="52"/>
      <c r="AF84" s="52"/>
      <c r="AG84" s="52"/>
      <c r="AH84" s="52"/>
      <c r="AI84" s="53"/>
    </row>
    <row r="85" spans="1:35" ht="14.45" customHeight="1" x14ac:dyDescent="0.25">
      <c r="A85" s="51"/>
      <c r="B85" s="52"/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  <c r="AA85" s="52"/>
      <c r="AB85" s="52"/>
      <c r="AC85" s="52"/>
      <c r="AD85" s="52"/>
      <c r="AE85" s="52"/>
      <c r="AF85" s="52"/>
      <c r="AG85" s="52"/>
      <c r="AH85" s="52"/>
      <c r="AI85" s="53"/>
    </row>
    <row r="86" spans="1:35" ht="14.45" customHeight="1" x14ac:dyDescent="0.25">
      <c r="A86" s="51"/>
      <c r="B86" s="52"/>
      <c r="C86" s="52"/>
      <c r="D86" s="52"/>
      <c r="E86" s="52"/>
      <c r="F86" s="52"/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  <c r="AA86" s="52"/>
      <c r="AB86" s="52"/>
      <c r="AC86" s="52"/>
      <c r="AD86" s="52"/>
      <c r="AE86" s="52"/>
      <c r="AF86" s="52"/>
      <c r="AG86" s="52"/>
      <c r="AH86" s="52"/>
      <c r="AI86" s="53"/>
    </row>
    <row r="87" spans="1:35" ht="14.45" customHeight="1" x14ac:dyDescent="0.25">
      <c r="A87" s="51"/>
      <c r="B87" s="52"/>
      <c r="C87" s="52"/>
      <c r="D87" s="52"/>
      <c r="E87" s="52"/>
      <c r="F87" s="52"/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  <c r="AA87" s="52"/>
      <c r="AB87" s="52"/>
      <c r="AC87" s="52"/>
      <c r="AD87" s="52"/>
      <c r="AE87" s="52"/>
      <c r="AF87" s="52"/>
      <c r="AG87" s="52"/>
      <c r="AH87" s="52"/>
      <c r="AI87" s="53"/>
    </row>
    <row r="88" spans="1:35" ht="14.45" customHeight="1" x14ac:dyDescent="0.25">
      <c r="A88" s="51"/>
      <c r="B88" s="52"/>
      <c r="C88" s="52"/>
      <c r="D88" s="52"/>
      <c r="E88" s="52"/>
      <c r="F88" s="52"/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  <c r="AA88" s="52"/>
      <c r="AB88" s="52"/>
      <c r="AC88" s="52"/>
      <c r="AD88" s="52"/>
      <c r="AE88" s="52"/>
      <c r="AF88" s="52"/>
      <c r="AG88" s="52"/>
      <c r="AH88" s="52"/>
      <c r="AI88" s="53"/>
    </row>
    <row r="89" spans="1:35" ht="14.45" customHeight="1" x14ac:dyDescent="0.25">
      <c r="A89" s="51"/>
      <c r="B89" s="52"/>
      <c r="C89" s="52"/>
      <c r="D89" s="52"/>
      <c r="E89" s="52"/>
      <c r="F89" s="52"/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  <c r="AA89" s="52"/>
      <c r="AB89" s="52"/>
      <c r="AC89" s="52"/>
      <c r="AD89" s="52"/>
      <c r="AE89" s="52"/>
      <c r="AF89" s="52"/>
      <c r="AG89" s="52"/>
      <c r="AH89" s="52"/>
      <c r="AI89" s="53"/>
    </row>
    <row r="90" spans="1:35" ht="14.45" customHeight="1" x14ac:dyDescent="0.25">
      <c r="A90" s="51"/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  <c r="AA90" s="52"/>
      <c r="AB90" s="52"/>
      <c r="AC90" s="52"/>
      <c r="AD90" s="52"/>
      <c r="AE90" s="52"/>
      <c r="AF90" s="52"/>
      <c r="AG90" s="52"/>
      <c r="AH90" s="52"/>
      <c r="AI90" s="53"/>
    </row>
    <row r="91" spans="1:35" ht="14.45" customHeight="1" x14ac:dyDescent="0.25">
      <c r="A91" s="51"/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  <c r="AA91" s="52"/>
      <c r="AB91" s="52"/>
      <c r="AC91" s="52"/>
      <c r="AD91" s="52"/>
      <c r="AE91" s="52"/>
      <c r="AF91" s="52"/>
      <c r="AG91" s="52"/>
      <c r="AH91" s="52"/>
      <c r="AI91" s="53"/>
    </row>
    <row r="92" spans="1:35" ht="14.45" customHeight="1" x14ac:dyDescent="0.25">
      <c r="A92" s="51"/>
      <c r="B92" s="52"/>
      <c r="C92" s="52"/>
      <c r="D92" s="52"/>
      <c r="E92" s="52"/>
      <c r="F92" s="52"/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  <c r="AA92" s="52"/>
      <c r="AB92" s="52"/>
      <c r="AC92" s="52"/>
      <c r="AD92" s="52"/>
      <c r="AE92" s="52"/>
      <c r="AF92" s="52"/>
      <c r="AG92" s="52"/>
      <c r="AH92" s="52"/>
      <c r="AI92" s="53"/>
    </row>
    <row r="93" spans="1:35" ht="14.45" customHeight="1" x14ac:dyDescent="0.25">
      <c r="A93" s="51"/>
      <c r="B93" s="52"/>
      <c r="C93" s="52"/>
      <c r="D93" s="52"/>
      <c r="E93" s="52"/>
      <c r="F93" s="52"/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  <c r="AA93" s="52"/>
      <c r="AB93" s="52"/>
      <c r="AC93" s="52"/>
      <c r="AD93" s="52"/>
      <c r="AE93" s="52"/>
      <c r="AF93" s="52"/>
      <c r="AG93" s="52"/>
      <c r="AH93" s="52"/>
      <c r="AI93" s="53"/>
    </row>
    <row r="94" spans="1:35" ht="14.45" customHeight="1" x14ac:dyDescent="0.25">
      <c r="A94" s="51"/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  <c r="AA94" s="52"/>
      <c r="AB94" s="52"/>
      <c r="AC94" s="52"/>
      <c r="AD94" s="52"/>
      <c r="AE94" s="52"/>
      <c r="AF94" s="52"/>
      <c r="AG94" s="52"/>
      <c r="AH94" s="52"/>
      <c r="AI94" s="53"/>
    </row>
    <row r="95" spans="1:35" ht="14.45" customHeight="1" x14ac:dyDescent="0.25">
      <c r="A95" s="51"/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  <c r="AA95" s="52"/>
      <c r="AB95" s="52"/>
      <c r="AC95" s="52"/>
      <c r="AD95" s="52"/>
      <c r="AE95" s="52"/>
      <c r="AF95" s="52"/>
      <c r="AG95" s="52"/>
      <c r="AH95" s="52"/>
      <c r="AI95" s="53"/>
    </row>
    <row r="96" spans="1:35" ht="14.45" customHeight="1" x14ac:dyDescent="0.25">
      <c r="A96" s="51"/>
      <c r="B96" s="52"/>
      <c r="C96" s="52"/>
      <c r="D96" s="52"/>
      <c r="E96" s="52"/>
      <c r="F96" s="52"/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  <c r="AA96" s="52"/>
      <c r="AB96" s="52"/>
      <c r="AC96" s="52"/>
      <c r="AD96" s="52"/>
      <c r="AE96" s="52"/>
      <c r="AF96" s="52"/>
      <c r="AG96" s="52"/>
      <c r="AH96" s="52"/>
      <c r="AI96" s="53"/>
    </row>
    <row r="97" spans="1:35" ht="14.45" customHeight="1" x14ac:dyDescent="0.25">
      <c r="A97" s="51"/>
      <c r="B97" s="52"/>
      <c r="C97" s="52"/>
      <c r="D97" s="52"/>
      <c r="E97" s="52"/>
      <c r="F97" s="52"/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  <c r="AA97" s="52"/>
      <c r="AB97" s="52"/>
      <c r="AC97" s="52"/>
      <c r="AD97" s="52"/>
      <c r="AE97" s="52"/>
      <c r="AF97" s="52"/>
      <c r="AG97" s="52"/>
      <c r="AH97" s="52"/>
      <c r="AI97" s="53"/>
    </row>
    <row r="98" spans="1:35" ht="14.45" customHeight="1" x14ac:dyDescent="0.25">
      <c r="A98" s="51"/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  <c r="AA98" s="52"/>
      <c r="AB98" s="52"/>
      <c r="AC98" s="52"/>
      <c r="AD98" s="52"/>
      <c r="AE98" s="52"/>
      <c r="AF98" s="52"/>
      <c r="AG98" s="52"/>
      <c r="AH98" s="52"/>
      <c r="AI98" s="53"/>
    </row>
    <row r="99" spans="1:35" ht="14.45" customHeight="1" x14ac:dyDescent="0.25">
      <c r="A99" s="51"/>
      <c r="B99" s="52"/>
      <c r="C99" s="52"/>
      <c r="D99" s="52"/>
      <c r="E99" s="52"/>
      <c r="F99" s="52"/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  <c r="AA99" s="52"/>
      <c r="AB99" s="52"/>
      <c r="AC99" s="52"/>
      <c r="AD99" s="52"/>
      <c r="AE99" s="52"/>
      <c r="AF99" s="52"/>
      <c r="AG99" s="52"/>
      <c r="AH99" s="52"/>
      <c r="AI99" s="53"/>
    </row>
    <row r="100" spans="1:35" ht="14.45" customHeight="1" x14ac:dyDescent="0.25">
      <c r="A100" s="51"/>
      <c r="B100" s="52"/>
      <c r="C100" s="52"/>
      <c r="D100" s="52"/>
      <c r="E100" s="52"/>
      <c r="F100" s="52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  <c r="AA100" s="52"/>
      <c r="AB100" s="52"/>
      <c r="AC100" s="52"/>
      <c r="AD100" s="52"/>
      <c r="AE100" s="52"/>
      <c r="AF100" s="52"/>
      <c r="AG100" s="52"/>
      <c r="AH100" s="52"/>
      <c r="AI100" s="53"/>
    </row>
    <row r="101" spans="1:35" ht="14.45" customHeight="1" x14ac:dyDescent="0.25">
      <c r="A101" s="51"/>
      <c r="B101" s="52"/>
      <c r="C101" s="52"/>
      <c r="D101" s="52"/>
      <c r="E101" s="52"/>
      <c r="F101" s="52"/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  <c r="AA101" s="52"/>
      <c r="AB101" s="52"/>
      <c r="AC101" s="52"/>
      <c r="AD101" s="52"/>
      <c r="AE101" s="52"/>
      <c r="AF101" s="52"/>
      <c r="AG101" s="52"/>
      <c r="AH101" s="52"/>
      <c r="AI101" s="53"/>
    </row>
    <row r="102" spans="1:35" ht="14.45" customHeight="1" x14ac:dyDescent="0.25">
      <c r="A102" s="51"/>
      <c r="B102" s="52"/>
      <c r="C102" s="52"/>
      <c r="D102" s="52"/>
      <c r="E102" s="52"/>
      <c r="F102" s="52"/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  <c r="AA102" s="52"/>
      <c r="AB102" s="52"/>
      <c r="AC102" s="52"/>
      <c r="AD102" s="52"/>
      <c r="AE102" s="52"/>
      <c r="AF102" s="52"/>
      <c r="AG102" s="52"/>
      <c r="AH102" s="52"/>
      <c r="AI102" s="53"/>
    </row>
    <row r="103" spans="1:35" ht="14.45" customHeight="1" x14ac:dyDescent="0.25">
      <c r="A103" s="51"/>
      <c r="B103" s="52"/>
      <c r="C103" s="52"/>
      <c r="D103" s="52"/>
      <c r="E103" s="52"/>
      <c r="F103" s="52"/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  <c r="AA103" s="52"/>
      <c r="AB103" s="52"/>
      <c r="AC103" s="52"/>
      <c r="AD103" s="52"/>
      <c r="AE103" s="52"/>
      <c r="AF103" s="52"/>
      <c r="AG103" s="52"/>
      <c r="AH103" s="52"/>
      <c r="AI103" s="53"/>
    </row>
    <row r="104" spans="1:35" ht="14.45" customHeight="1" x14ac:dyDescent="0.25">
      <c r="A104" s="51"/>
      <c r="B104" s="52"/>
      <c r="C104" s="52"/>
      <c r="D104" s="52"/>
      <c r="E104" s="52"/>
      <c r="F104" s="52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  <c r="AA104" s="52"/>
      <c r="AB104" s="52"/>
      <c r="AC104" s="52"/>
      <c r="AD104" s="52"/>
      <c r="AE104" s="52"/>
      <c r="AF104" s="52"/>
      <c r="AG104" s="52"/>
      <c r="AH104" s="52"/>
      <c r="AI104" s="53"/>
    </row>
    <row r="105" spans="1:35" ht="14.45" customHeight="1" x14ac:dyDescent="0.25">
      <c r="A105" s="51"/>
      <c r="B105" s="52"/>
      <c r="C105" s="52"/>
      <c r="D105" s="52"/>
      <c r="E105" s="52"/>
      <c r="F105" s="52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  <c r="AA105" s="52"/>
      <c r="AB105" s="52"/>
      <c r="AC105" s="52"/>
      <c r="AD105" s="52"/>
      <c r="AE105" s="52"/>
      <c r="AF105" s="52"/>
      <c r="AG105" s="52"/>
      <c r="AH105" s="52"/>
      <c r="AI105" s="53"/>
    </row>
    <row r="106" spans="1:35" ht="14.45" customHeight="1" x14ac:dyDescent="0.25">
      <c r="A106" s="51"/>
      <c r="B106" s="52"/>
      <c r="C106" s="52"/>
      <c r="D106" s="52"/>
      <c r="E106" s="52"/>
      <c r="F106" s="52"/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  <c r="AA106" s="52"/>
      <c r="AB106" s="52"/>
      <c r="AC106" s="52"/>
      <c r="AD106" s="52"/>
      <c r="AE106" s="52"/>
      <c r="AF106" s="52"/>
      <c r="AG106" s="52"/>
      <c r="AH106" s="52"/>
      <c r="AI106" s="53"/>
    </row>
    <row r="107" spans="1:35" ht="14.45" customHeight="1" x14ac:dyDescent="0.25">
      <c r="A107" s="54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/>
      <c r="AB107" s="55"/>
      <c r="AC107" s="55"/>
      <c r="AD107" s="55"/>
      <c r="AE107" s="55"/>
      <c r="AF107" s="55"/>
      <c r="AG107" s="55"/>
      <c r="AH107" s="55"/>
      <c r="AI107" s="56"/>
    </row>
    <row r="108" spans="1:35" ht="14.45" customHeight="1" x14ac:dyDescent="0.25">
      <c r="A108" s="40"/>
      <c r="B108" s="40"/>
      <c r="C108" s="40"/>
      <c r="D108" s="40"/>
      <c r="E108" s="40"/>
      <c r="F108" s="40"/>
      <c r="G108" s="40"/>
      <c r="H108" s="40"/>
      <c r="I108" s="42" t="s">
        <v>11</v>
      </c>
      <c r="J108" s="43"/>
      <c r="K108" s="43"/>
      <c r="L108" s="43"/>
      <c r="M108" s="43"/>
      <c r="N108" s="43"/>
      <c r="O108" s="43"/>
      <c r="P108" s="43"/>
      <c r="Q108" s="44"/>
      <c r="R108" s="42" t="s">
        <v>12</v>
      </c>
      <c r="S108" s="43"/>
      <c r="T108" s="43"/>
      <c r="U108" s="43"/>
      <c r="V108" s="43"/>
      <c r="W108" s="43"/>
      <c r="X108" s="43"/>
      <c r="Y108" s="43"/>
      <c r="Z108" s="44"/>
      <c r="AA108" s="42" t="s">
        <v>13</v>
      </c>
      <c r="AB108" s="43"/>
      <c r="AC108" s="43"/>
      <c r="AD108" s="43"/>
      <c r="AE108" s="43"/>
      <c r="AF108" s="43"/>
      <c r="AG108" s="43"/>
      <c r="AH108" s="43"/>
      <c r="AI108" s="44"/>
    </row>
    <row r="109" spans="1:35" ht="14.45" customHeight="1" x14ac:dyDescent="0.25">
      <c r="A109" s="41" t="s">
        <v>14</v>
      </c>
      <c r="B109" s="41"/>
      <c r="C109" s="41"/>
      <c r="D109" s="41"/>
      <c r="E109" s="41"/>
      <c r="F109" s="41"/>
      <c r="G109" s="41"/>
      <c r="H109" s="41"/>
      <c r="I109" s="59"/>
      <c r="J109" s="60"/>
      <c r="K109" s="60"/>
      <c r="L109" s="60"/>
      <c r="M109" s="60"/>
      <c r="N109" s="60"/>
      <c r="O109" s="60"/>
      <c r="P109" s="60"/>
      <c r="Q109" s="60"/>
      <c r="R109" s="59"/>
      <c r="S109" s="60"/>
      <c r="T109" s="60"/>
      <c r="U109" s="60"/>
      <c r="V109" s="60"/>
      <c r="W109" s="60"/>
      <c r="X109" s="60"/>
      <c r="Y109" s="60"/>
      <c r="Z109" s="69"/>
      <c r="AA109" s="59"/>
      <c r="AB109" s="60"/>
      <c r="AC109" s="60"/>
      <c r="AD109" s="60"/>
      <c r="AE109" s="60"/>
      <c r="AF109" s="60"/>
      <c r="AG109" s="60"/>
      <c r="AH109" s="60"/>
      <c r="AI109" s="69"/>
    </row>
    <row r="110" spans="1:35" ht="14.45" customHeight="1" x14ac:dyDescent="0.25">
      <c r="A110" s="41" t="s">
        <v>14</v>
      </c>
      <c r="B110" s="41"/>
      <c r="C110" s="41"/>
      <c r="D110" s="41"/>
      <c r="E110" s="41"/>
      <c r="F110" s="41"/>
      <c r="G110" s="41"/>
      <c r="H110" s="41"/>
      <c r="I110" s="59"/>
      <c r="J110" s="60"/>
      <c r="K110" s="60"/>
      <c r="L110" s="60"/>
      <c r="M110" s="60"/>
      <c r="N110" s="60"/>
      <c r="O110" s="60"/>
      <c r="P110" s="60"/>
      <c r="Q110" s="60"/>
      <c r="R110" s="59"/>
      <c r="S110" s="60"/>
      <c r="T110" s="60"/>
      <c r="U110" s="60"/>
      <c r="V110" s="60"/>
      <c r="W110" s="60"/>
      <c r="X110" s="60"/>
      <c r="Y110" s="60"/>
      <c r="Z110" s="69"/>
      <c r="AA110" s="59"/>
      <c r="AB110" s="60"/>
      <c r="AC110" s="60"/>
      <c r="AD110" s="60"/>
      <c r="AE110" s="60"/>
      <c r="AF110" s="60"/>
      <c r="AG110" s="60"/>
      <c r="AH110" s="60"/>
      <c r="AI110" s="69"/>
    </row>
    <row r="111" spans="1:35" ht="14.45" customHeight="1" x14ac:dyDescent="0.25">
      <c r="A111" s="41" t="s">
        <v>16</v>
      </c>
      <c r="B111" s="41"/>
      <c r="C111" s="41"/>
      <c r="D111" s="41"/>
      <c r="E111" s="41"/>
      <c r="F111" s="41"/>
      <c r="G111" s="41"/>
      <c r="H111" s="41"/>
      <c r="I111" s="59"/>
      <c r="J111" s="60"/>
      <c r="K111" s="60"/>
      <c r="L111" s="60"/>
      <c r="M111" s="60"/>
      <c r="N111" s="60"/>
      <c r="O111" s="60"/>
      <c r="P111" s="60"/>
      <c r="Q111" s="60"/>
      <c r="R111" s="59"/>
      <c r="S111" s="60"/>
      <c r="T111" s="60"/>
      <c r="U111" s="60"/>
      <c r="V111" s="60"/>
      <c r="W111" s="60"/>
      <c r="X111" s="60"/>
      <c r="Y111" s="60"/>
      <c r="Z111" s="69"/>
      <c r="AA111" s="59"/>
      <c r="AB111" s="60"/>
      <c r="AC111" s="60"/>
      <c r="AD111" s="60"/>
      <c r="AE111" s="60"/>
      <c r="AF111" s="60"/>
      <c r="AG111" s="60"/>
      <c r="AH111" s="60"/>
      <c r="AI111" s="69"/>
    </row>
    <row r="112" spans="1:35" ht="14.45" customHeight="1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</row>
    <row r="113" spans="1:35" ht="14.45" customHeight="1" x14ac:dyDescent="0.2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</row>
    <row r="114" spans="1:35" ht="14.45" customHeight="1" x14ac:dyDescent="0.25">
      <c r="A114" s="81" t="s">
        <v>17</v>
      </c>
      <c r="B114" s="81"/>
      <c r="C114" s="81"/>
      <c r="D114" s="81"/>
      <c r="E114" s="81"/>
      <c r="F114" s="81"/>
      <c r="G114" s="81" t="s">
        <v>13</v>
      </c>
      <c r="H114" s="81"/>
      <c r="I114" s="81"/>
      <c r="J114" s="81"/>
      <c r="K114" s="81"/>
      <c r="L114" s="81"/>
      <c r="M114" s="70" t="s">
        <v>18</v>
      </c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2"/>
    </row>
    <row r="115" spans="1:35" ht="14.45" customHeight="1" x14ac:dyDescent="0.25">
      <c r="A115" s="79" t="s">
        <v>19</v>
      </c>
      <c r="B115" s="79"/>
      <c r="C115" s="79"/>
      <c r="D115" s="79"/>
      <c r="E115" s="79"/>
      <c r="F115" s="79"/>
      <c r="G115" s="80">
        <v>45714</v>
      </c>
      <c r="H115" s="80"/>
      <c r="I115" s="80"/>
      <c r="J115" s="80"/>
      <c r="K115" s="80"/>
      <c r="L115" s="80"/>
      <c r="M115" s="73" t="s">
        <v>20</v>
      </c>
      <c r="N115" s="74"/>
      <c r="O115" s="74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5"/>
    </row>
    <row r="116" spans="1:35" ht="14.4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</row>
    <row r="117" spans="1:35" ht="14.45" customHeight="1" x14ac:dyDescent="0.25">
      <c r="A117" s="76" t="s">
        <v>21</v>
      </c>
      <c r="B117" s="77"/>
      <c r="C117" s="77"/>
      <c r="D117" s="77"/>
      <c r="E117" s="77"/>
      <c r="F117" s="77"/>
      <c r="G117" s="77"/>
      <c r="H117" s="77"/>
      <c r="I117" s="78"/>
      <c r="J117" s="76" t="s">
        <v>15</v>
      </c>
      <c r="K117" s="77"/>
      <c r="L117" s="77"/>
      <c r="M117" s="77"/>
      <c r="N117" s="77"/>
      <c r="O117" s="77"/>
      <c r="P117" s="77"/>
      <c r="Q117" s="77"/>
      <c r="R117" s="78"/>
      <c r="S117" s="76" t="s">
        <v>16</v>
      </c>
      <c r="T117" s="77"/>
      <c r="U117" s="77"/>
      <c r="V117" s="77"/>
      <c r="W117" s="77"/>
      <c r="X117" s="77"/>
      <c r="Y117" s="77"/>
      <c r="Z117" s="77"/>
      <c r="AA117" s="78"/>
      <c r="AB117" s="76" t="s">
        <v>22</v>
      </c>
      <c r="AC117" s="77"/>
      <c r="AD117" s="77"/>
      <c r="AE117" s="77"/>
      <c r="AF117" s="77"/>
      <c r="AG117" s="77"/>
      <c r="AH117" s="77"/>
      <c r="AI117" s="78"/>
    </row>
    <row r="118" spans="1:35" ht="14.45" customHeight="1" x14ac:dyDescent="0.25">
      <c r="A118" s="66" t="s">
        <v>23</v>
      </c>
      <c r="B118" s="67"/>
      <c r="C118" s="67"/>
      <c r="D118" s="67"/>
      <c r="E118" s="67"/>
      <c r="F118" s="67"/>
      <c r="G118" s="67"/>
      <c r="H118" s="67"/>
      <c r="I118" s="68"/>
      <c r="J118" s="82"/>
      <c r="K118" s="83"/>
      <c r="L118" s="83"/>
      <c r="M118" s="83"/>
      <c r="N118" s="83"/>
      <c r="O118" s="83"/>
      <c r="P118" s="83"/>
      <c r="Q118" s="83"/>
      <c r="R118" s="84"/>
      <c r="S118" s="82"/>
      <c r="T118" s="83"/>
      <c r="U118" s="83"/>
      <c r="V118" s="83"/>
      <c r="W118" s="83"/>
      <c r="X118" s="83"/>
      <c r="Y118" s="83"/>
      <c r="Z118" s="83"/>
      <c r="AA118" s="84"/>
      <c r="AB118" s="61">
        <v>45714</v>
      </c>
      <c r="AC118" s="61"/>
      <c r="AD118" s="61"/>
      <c r="AE118" s="61"/>
      <c r="AF118" s="61"/>
      <c r="AG118" s="61"/>
      <c r="AH118" s="61"/>
      <c r="AI118" s="62"/>
    </row>
    <row r="119" spans="1:35" ht="14.4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</row>
    <row r="120" spans="1:35" ht="14.45" customHeight="1" x14ac:dyDescent="0.25">
      <c r="A120" s="63" t="s">
        <v>24</v>
      </c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  <c r="AA120" s="64"/>
      <c r="AB120" s="64"/>
      <c r="AC120" s="64"/>
      <c r="AD120" s="64"/>
      <c r="AE120" s="64"/>
      <c r="AF120" s="64"/>
      <c r="AG120" s="64"/>
      <c r="AH120" s="64"/>
      <c r="AI120" s="65"/>
    </row>
    <row r="121" spans="1:35" ht="14.45" customHeight="1" x14ac:dyDescent="0.25">
      <c r="A121" s="66" t="s">
        <v>102</v>
      </c>
      <c r="B121" s="67"/>
      <c r="C121" s="67"/>
      <c r="D121" s="67"/>
      <c r="E121" s="67"/>
      <c r="F121" s="67"/>
      <c r="G121" s="67"/>
      <c r="H121" s="67"/>
      <c r="I121" s="67"/>
      <c r="J121" s="67"/>
      <c r="K121" s="67"/>
      <c r="L121" s="67"/>
      <c r="M121" s="67"/>
      <c r="N121" s="67"/>
      <c r="O121" s="67"/>
      <c r="P121" s="67"/>
      <c r="Q121" s="67"/>
      <c r="R121" s="67"/>
      <c r="S121" s="67"/>
      <c r="T121" s="67"/>
      <c r="U121" s="67"/>
      <c r="V121" s="67"/>
      <c r="W121" s="67"/>
      <c r="X121" s="67"/>
      <c r="Y121" s="67"/>
      <c r="Z121" s="67"/>
      <c r="AA121" s="67"/>
      <c r="AB121" s="67"/>
      <c r="AC121" s="67"/>
      <c r="AD121" s="67"/>
      <c r="AE121" s="67"/>
      <c r="AF121" s="67"/>
      <c r="AG121" s="67"/>
      <c r="AH121" s="67"/>
      <c r="AI121" s="68"/>
    </row>
  </sheetData>
  <sheetProtection formatCells="0" formatColumns="0" formatRows="0" insertColumns="0" insertRows="0" insertHyperlinks="0" deleteColumns="0" deleteRows="0" sort="0" autoFilter="0" pivotTables="0"/>
  <mergeCells count="181">
    <mergeCell ref="A54:H54"/>
    <mergeCell ref="A55:I55"/>
    <mergeCell ref="J55:N55"/>
    <mergeCell ref="O55:R55"/>
    <mergeCell ref="A60:I60"/>
    <mergeCell ref="J60:N60"/>
    <mergeCell ref="O60:R60"/>
    <mergeCell ref="A28:I28"/>
    <mergeCell ref="J28:N28"/>
    <mergeCell ref="O28:R28"/>
    <mergeCell ref="A43:AI43"/>
    <mergeCell ref="A44:H44"/>
    <mergeCell ref="A50:I50"/>
    <mergeCell ref="J50:N50"/>
    <mergeCell ref="O50:R50"/>
    <mergeCell ref="A45:I45"/>
    <mergeCell ref="J45:N45"/>
    <mergeCell ref="O45:R45"/>
    <mergeCell ref="A53:AI53"/>
    <mergeCell ref="A30:AI30"/>
    <mergeCell ref="A41:I41"/>
    <mergeCell ref="J41:N41"/>
    <mergeCell ref="O41:R41"/>
    <mergeCell ref="A32:H32"/>
    <mergeCell ref="L37:R37"/>
    <mergeCell ref="A31:AI31"/>
    <mergeCell ref="A23:I23"/>
    <mergeCell ref="J23:R23"/>
    <mergeCell ref="S23:AA23"/>
    <mergeCell ref="AB23:AI23"/>
    <mergeCell ref="A24:I24"/>
    <mergeCell ref="J24:R24"/>
    <mergeCell ref="S24:AA24"/>
    <mergeCell ref="AB24:AI24"/>
    <mergeCell ref="A25:I25"/>
    <mergeCell ref="J25:R25"/>
    <mergeCell ref="S25:AA25"/>
    <mergeCell ref="AB25:AI25"/>
    <mergeCell ref="A26:I26"/>
    <mergeCell ref="J26:R26"/>
    <mergeCell ref="S26:AA26"/>
    <mergeCell ref="AB26:AI26"/>
    <mergeCell ref="A27:I27"/>
    <mergeCell ref="J27:R27"/>
    <mergeCell ref="S27:AA27"/>
    <mergeCell ref="AB27:AI27"/>
    <mergeCell ref="J22:N22"/>
    <mergeCell ref="O22:R22"/>
    <mergeCell ref="J21:R21"/>
    <mergeCell ref="S21:AA21"/>
    <mergeCell ref="AB21:AF21"/>
    <mergeCell ref="A19:I19"/>
    <mergeCell ref="J19:N19"/>
    <mergeCell ref="O19:R19"/>
    <mergeCell ref="S19:AA19"/>
    <mergeCell ref="AB19:AF19"/>
    <mergeCell ref="AG21:AI21"/>
    <mergeCell ref="S22:AA22"/>
    <mergeCell ref="AB22:AF22"/>
    <mergeCell ref="AG22:AI22"/>
    <mergeCell ref="J16:N16"/>
    <mergeCell ref="O16:R16"/>
    <mergeCell ref="AG19:AI19"/>
    <mergeCell ref="A20:I20"/>
    <mergeCell ref="J20:N20"/>
    <mergeCell ref="O20:R20"/>
    <mergeCell ref="AG20:AI20"/>
    <mergeCell ref="A17:I17"/>
    <mergeCell ref="J17:R17"/>
    <mergeCell ref="S17:AA17"/>
    <mergeCell ref="AB17:AI17"/>
    <mergeCell ref="A18:I18"/>
    <mergeCell ref="J18:R18"/>
    <mergeCell ref="S18:AA18"/>
    <mergeCell ref="AB18:AF18"/>
    <mergeCell ref="AG18:AI18"/>
    <mergeCell ref="S20:AA20"/>
    <mergeCell ref="AB20:AF20"/>
    <mergeCell ref="A21:I21"/>
    <mergeCell ref="A22:I22"/>
    <mergeCell ref="A118:I118"/>
    <mergeCell ref="J118:R118"/>
    <mergeCell ref="S118:AA118"/>
    <mergeCell ref="J12:R12"/>
    <mergeCell ref="S12:AA12"/>
    <mergeCell ref="AB12:AI12"/>
    <mergeCell ref="A13:I13"/>
    <mergeCell ref="J13:R13"/>
    <mergeCell ref="S13:AA13"/>
    <mergeCell ref="AB13:AI13"/>
    <mergeCell ref="A14:I14"/>
    <mergeCell ref="S14:AA14"/>
    <mergeCell ref="A15:I15"/>
    <mergeCell ref="J15:R15"/>
    <mergeCell ref="S15:AA15"/>
    <mergeCell ref="A16:I16"/>
    <mergeCell ref="S16:AA16"/>
    <mergeCell ref="AB16:AI16"/>
    <mergeCell ref="J14:N14"/>
    <mergeCell ref="O14:R14"/>
    <mergeCell ref="AB14:AF14"/>
    <mergeCell ref="AG14:AI14"/>
    <mergeCell ref="AB15:AF15"/>
    <mergeCell ref="AG15:AI15"/>
    <mergeCell ref="I110:Q110"/>
    <mergeCell ref="A110:H110"/>
    <mergeCell ref="AB118:AI118"/>
    <mergeCell ref="A120:AI120"/>
    <mergeCell ref="A121:AI121"/>
    <mergeCell ref="A111:H111"/>
    <mergeCell ref="I109:Q109"/>
    <mergeCell ref="R109:Z109"/>
    <mergeCell ref="AA109:AI109"/>
    <mergeCell ref="R110:Z110"/>
    <mergeCell ref="AA110:AI110"/>
    <mergeCell ref="I111:Q111"/>
    <mergeCell ref="R111:Z111"/>
    <mergeCell ref="AA111:AI111"/>
    <mergeCell ref="M114:AI114"/>
    <mergeCell ref="M115:AI115"/>
    <mergeCell ref="A117:I117"/>
    <mergeCell ref="J117:R117"/>
    <mergeCell ref="S117:AA117"/>
    <mergeCell ref="AB117:AI117"/>
    <mergeCell ref="A115:F115"/>
    <mergeCell ref="G115:L115"/>
    <mergeCell ref="A114:F114"/>
    <mergeCell ref="G114:L114"/>
    <mergeCell ref="A108:H108"/>
    <mergeCell ref="A109:H109"/>
    <mergeCell ref="I108:Q108"/>
    <mergeCell ref="R108:Z108"/>
    <mergeCell ref="AA108:AI108"/>
    <mergeCell ref="A67:H67"/>
    <mergeCell ref="A68:I68"/>
    <mergeCell ref="J68:N68"/>
    <mergeCell ref="O68:R68"/>
    <mergeCell ref="A69:I69"/>
    <mergeCell ref="J69:N69"/>
    <mergeCell ref="O69:R69"/>
    <mergeCell ref="A70:I70"/>
    <mergeCell ref="A72:AI107"/>
    <mergeCell ref="J70:N70"/>
    <mergeCell ref="O70:R70"/>
    <mergeCell ref="S67:Z67"/>
    <mergeCell ref="S68:AA68"/>
    <mergeCell ref="S69:AA69"/>
    <mergeCell ref="AB69:AF69"/>
    <mergeCell ref="AG69:AI69"/>
    <mergeCell ref="S70:AA70"/>
    <mergeCell ref="AB70:AF70"/>
    <mergeCell ref="AG70:AI70"/>
    <mergeCell ref="AH4:AI5"/>
    <mergeCell ref="C5:AG6"/>
    <mergeCell ref="A9:C9"/>
    <mergeCell ref="D9:K9"/>
    <mergeCell ref="Y9:AA9"/>
    <mergeCell ref="AB9:AI9"/>
    <mergeCell ref="P9:X9"/>
    <mergeCell ref="A11:AI11"/>
    <mergeCell ref="A12:I12"/>
    <mergeCell ref="L9:O9"/>
    <mergeCell ref="A8:D8"/>
    <mergeCell ref="E8:K8"/>
    <mergeCell ref="L8:N8"/>
    <mergeCell ref="O8:S8"/>
    <mergeCell ref="T8:V8"/>
    <mergeCell ref="W8:AA8"/>
    <mergeCell ref="AB8:AD8"/>
    <mergeCell ref="AE8:AI8"/>
    <mergeCell ref="AB68:AI68"/>
    <mergeCell ref="A62:H62"/>
    <mergeCell ref="A63:I63"/>
    <mergeCell ref="J63:N63"/>
    <mergeCell ref="O63:R63"/>
    <mergeCell ref="A64:I64"/>
    <mergeCell ref="J64:N64"/>
    <mergeCell ref="O64:R64"/>
    <mergeCell ref="A65:I65"/>
    <mergeCell ref="J65:N65"/>
    <mergeCell ref="O65:R65"/>
  </mergeCells>
  <phoneticPr fontId="10" type="noConversion"/>
  <pageMargins left="0.78740157480314965" right="0.31496062992125984" top="0.31496062992125984" bottom="1.3385826771653544" header="0.31496062992125984" footer="0.31496062992125984"/>
  <pageSetup paperSize="9" orientation="portrait" horizontalDpi="360" verticalDpi="360" r:id="rId1"/>
  <headerFooter>
    <oddFooter>&amp;C&amp;G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EEA605A35560418B68D8E50C713C6A" ma:contentTypeVersion="21" ma:contentTypeDescription="Crear nuevo documento." ma:contentTypeScope="" ma:versionID="f1cb46ade9ebefbd1328bec0918df15e">
  <xsd:schema xmlns:xsd="http://www.w3.org/2001/XMLSchema" xmlns:xs="http://www.w3.org/2001/XMLSchema" xmlns:p="http://schemas.microsoft.com/office/2006/metadata/properties" xmlns:ns2="7d2b1e9b-1b7a-4a74-a858-d22cbc1a84c6" xmlns:ns3="46154d86-2179-41eb-b0bf-29d102635e1b" targetNamespace="http://schemas.microsoft.com/office/2006/metadata/properties" ma:root="true" ma:fieldsID="ff5da06bfaa0265f4229a725506967ff" ns2:_="" ns3:_="">
    <xsd:import namespace="7d2b1e9b-1b7a-4a74-a858-d22cbc1a84c6"/>
    <xsd:import namespace="46154d86-2179-41eb-b0bf-29d102635e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Tags" minOccurs="0"/>
                <xsd:element ref="ns2:MediaServiceOCR" minOccurs="0"/>
                <xsd:element ref="ns2:creat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b1e9b-1b7a-4a74-a858-d22cbc1a84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Tags" ma:index="18" nillable="true" ma:displayName="Tags" ma:internalName="MediaServiceAutoTags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creates" ma:index="20" nillable="true" ma:displayName="creates" ma:format="DateOnly" ma:internalName="creates">
      <xsd:simpleType>
        <xsd:restriction base="dms:DateTime"/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1555bf09-075b-41a8-802e-c7c4e8456fb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7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154d86-2179-41eb-b0bf-29d102635e1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9c93fdc-0b88-4e37-90ef-90f8c9f5ab6d}" ma:internalName="TaxCatchAll" ma:showField="CatchAllData" ma:web="46154d86-2179-41eb-b0bf-29d102635e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reates xmlns="7d2b1e9b-1b7a-4a74-a858-d22cbc1a84c6" xsi:nil="true"/>
    <_Flow_SignoffStatus xmlns="7d2b1e9b-1b7a-4a74-a858-d22cbc1a84c6" xsi:nil="true"/>
    <lcf76f155ced4ddcb4097134ff3c332f xmlns="7d2b1e9b-1b7a-4a74-a858-d22cbc1a84c6">
      <Terms xmlns="http://schemas.microsoft.com/office/infopath/2007/PartnerControls"/>
    </lcf76f155ced4ddcb4097134ff3c332f>
    <TaxCatchAll xmlns="46154d86-2179-41eb-b0bf-29d102635e1b" xsi:nil="true"/>
  </documentManagement>
</p:properties>
</file>

<file path=customXml/itemProps1.xml><?xml version="1.0" encoding="utf-8"?>
<ds:datastoreItem xmlns:ds="http://schemas.openxmlformats.org/officeDocument/2006/customXml" ds:itemID="{3E12C2EC-8A5D-4597-8578-FC4238842EA1}"/>
</file>

<file path=customXml/itemProps2.xml><?xml version="1.0" encoding="utf-8"?>
<ds:datastoreItem xmlns:ds="http://schemas.openxmlformats.org/officeDocument/2006/customXml" ds:itemID="{A7D5D795-DFAA-4B83-9F57-2803274751BF}"/>
</file>

<file path=customXml/itemProps3.xml><?xml version="1.0" encoding="utf-8"?>
<ds:datastoreItem xmlns:ds="http://schemas.openxmlformats.org/officeDocument/2006/customXml" ds:itemID="{C90008BD-605F-4B4C-AE7F-CA6593CF9F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ELCID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Pelegrina</dc:creator>
  <cp:lastModifiedBy>Pablo  Pelegrina</cp:lastModifiedBy>
  <cp:lastPrinted>2025-02-27T13:51:41Z</cp:lastPrinted>
  <dcterms:created xsi:type="dcterms:W3CDTF">2015-06-05T18:19:34Z</dcterms:created>
  <dcterms:modified xsi:type="dcterms:W3CDTF">2025-04-14T18:44:49Z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0x010100A1EEA605A35560418B68D8E50C713C6A</vt:lpwstr>
  </property>
</Properties>
</file>